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\_usulan_tpp_smkn1_koba\PNS\"/>
    </mc:Choice>
  </mc:AlternateContent>
  <xr:revisionPtr revIDLastSave="0" documentId="13_ncr:1_{CC9BBF70-8DA2-4016-81A4-1FCC3F9B40DD}" xr6:coauthVersionLast="47" xr6:coauthVersionMax="47" xr10:uidLastSave="{00000000-0000-0000-0000-000000000000}"/>
  <bookViews>
    <workbookView xWindow="-110" yWindow="-110" windowWidth="19420" windowHeight="11020" tabRatio="826" firstSheet="1" activeTab="7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bpjs!$A$6:$S$63</definedName>
    <definedName name="ExternalData_1" localSheetId="7" hidden="1">'rekap_tpp'!$A$2:$AH$43</definedName>
    <definedName name="_xlnm.Print_Area" localSheetId="4">bank!$A$1:$L$44</definedName>
    <definedName name="_xlnm.Print_Area" localSheetId="0">bpjs!$A$1:$S$48</definedName>
    <definedName name="_xlnm.Print_Area" localSheetId="2">'daftar nominatif'!$A$1:$M$50</definedName>
    <definedName name="_xlnm.Print_Area" localSheetId="1">'rekap nominatif etukin'!$A$1:$G$43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F45" i="24" l="1"/>
  <c r="H9" i="5"/>
  <c r="G7" i="23" s="1"/>
  <c r="H10" i="5"/>
  <c r="H11" i="5"/>
  <c r="H12" i="5"/>
  <c r="H13" i="5"/>
  <c r="G11" i="23" s="1"/>
  <c r="H14" i="5"/>
  <c r="G12" i="23" s="1"/>
  <c r="H15" i="5"/>
  <c r="H16" i="5"/>
  <c r="H17" i="5"/>
  <c r="H18" i="5"/>
  <c r="H19" i="5"/>
  <c r="G17" i="23" s="1"/>
  <c r="H20" i="5"/>
  <c r="G18" i="23" s="1"/>
  <c r="H21" i="5"/>
  <c r="H22" i="5"/>
  <c r="H23" i="5"/>
  <c r="H24" i="5"/>
  <c r="H25" i="5"/>
  <c r="G23" i="23" s="1"/>
  <c r="H26" i="5"/>
  <c r="G24" i="23" s="1"/>
  <c r="H27" i="5"/>
  <c r="G25" i="23" s="1"/>
  <c r="H28" i="5"/>
  <c r="H29" i="5"/>
  <c r="G27" i="23" s="1"/>
  <c r="H30" i="5"/>
  <c r="H31" i="5"/>
  <c r="G29" i="23" s="1"/>
  <c r="H32" i="5"/>
  <c r="G30" i="23" s="1"/>
  <c r="H33" i="5"/>
  <c r="H34" i="5"/>
  <c r="H35" i="5"/>
  <c r="G33" i="23" s="1"/>
  <c r="H8" i="5"/>
  <c r="G6" i="23" s="1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8" i="5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12" i="2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5" i="3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36" i="1"/>
  <c r="B33" i="23" s="1"/>
  <c r="C9" i="1"/>
  <c r="B6" i="23" s="1"/>
  <c r="M34" i="23"/>
  <c r="N34" i="23"/>
  <c r="O34" i="23"/>
  <c r="P34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6" i="23"/>
  <c r="G8" i="23"/>
  <c r="G9" i="23"/>
  <c r="G10" i="23"/>
  <c r="G13" i="23"/>
  <c r="G14" i="23"/>
  <c r="G15" i="23"/>
  <c r="G16" i="23"/>
  <c r="G19" i="23"/>
  <c r="G20" i="23"/>
  <c r="G21" i="23"/>
  <c r="G22" i="23"/>
  <c r="G26" i="23"/>
  <c r="G28" i="23"/>
  <c r="G31" i="23"/>
  <c r="G32" i="23"/>
  <c r="A2" i="3"/>
  <c r="K38" i="5"/>
  <c r="Q39" i="1"/>
  <c r="C22" i="18"/>
  <c r="K8" i="4" l="1"/>
  <c r="H8" i="4"/>
  <c r="I8" i="4"/>
  <c r="J8" i="4"/>
  <c r="D33" i="23"/>
  <c r="H33" i="23"/>
  <c r="I33" i="23" s="1"/>
  <c r="J33" i="23" s="1"/>
  <c r="K33" i="23" s="1"/>
  <c r="L33" i="23" s="1"/>
  <c r="D9" i="23"/>
  <c r="H9" i="23"/>
  <c r="I9" i="23" s="1"/>
  <c r="J9" i="23" s="1"/>
  <c r="K9" i="23" s="1"/>
  <c r="L9" i="23" s="1"/>
  <c r="H32" i="23"/>
  <c r="I32" i="23" s="1"/>
  <c r="J32" i="23" s="1"/>
  <c r="K32" i="23" s="1"/>
  <c r="L32" i="23" s="1"/>
  <c r="D32" i="23"/>
  <c r="H8" i="23"/>
  <c r="I8" i="23" s="1"/>
  <c r="J8" i="23" s="1"/>
  <c r="K8" i="23" s="1"/>
  <c r="L8" i="23" s="1"/>
  <c r="D8" i="23"/>
  <c r="D7" i="23"/>
  <c r="H7" i="23"/>
  <c r="I7" i="23" s="1"/>
  <c r="J7" i="23" s="1"/>
  <c r="K7" i="23" s="1"/>
  <c r="L7" i="23" s="1"/>
  <c r="D15" i="23"/>
  <c r="H15" i="23"/>
  <c r="I15" i="23" s="1"/>
  <c r="J15" i="23" s="1"/>
  <c r="K15" i="23" s="1"/>
  <c r="L15" i="23" s="1"/>
  <c r="H26" i="23"/>
  <c r="I26" i="23" s="1"/>
  <c r="J26" i="23" s="1"/>
  <c r="K26" i="23" s="1"/>
  <c r="L26" i="23" s="1"/>
  <c r="D26" i="23"/>
  <c r="H14" i="23"/>
  <c r="I14" i="23" s="1"/>
  <c r="J14" i="23" s="1"/>
  <c r="K14" i="23" s="1"/>
  <c r="L14" i="23" s="1"/>
  <c r="D14" i="23"/>
  <c r="G34" i="23"/>
  <c r="D6" i="23"/>
  <c r="H6" i="23"/>
  <c r="D25" i="23"/>
  <c r="H25" i="23"/>
  <c r="I25" i="23" s="1"/>
  <c r="J25" i="23" s="1"/>
  <c r="K25" i="23" s="1"/>
  <c r="L25" i="23" s="1"/>
  <c r="H13" i="23"/>
  <c r="I13" i="23" s="1"/>
  <c r="J13" i="23" s="1"/>
  <c r="K13" i="23" s="1"/>
  <c r="L13" i="23" s="1"/>
  <c r="D13" i="23"/>
  <c r="D30" i="23"/>
  <c r="H30" i="23"/>
  <c r="I30" i="23" s="1"/>
  <c r="J30" i="23" s="1"/>
  <c r="K30" i="23" s="1"/>
  <c r="L30" i="23" s="1"/>
  <c r="D24" i="23"/>
  <c r="H24" i="23"/>
  <c r="I24" i="23" s="1"/>
  <c r="J24" i="23" s="1"/>
  <c r="K24" i="23" s="1"/>
  <c r="L24" i="23" s="1"/>
  <c r="D18" i="23"/>
  <c r="H18" i="23"/>
  <c r="I18" i="23" s="1"/>
  <c r="J18" i="23" s="1"/>
  <c r="K18" i="23" s="1"/>
  <c r="L18" i="23" s="1"/>
  <c r="D12" i="23"/>
  <c r="H12" i="23"/>
  <c r="I12" i="23" s="1"/>
  <c r="J12" i="23" s="1"/>
  <c r="K12" i="23" s="1"/>
  <c r="L12" i="23" s="1"/>
  <c r="D21" i="23"/>
  <c r="H21" i="23"/>
  <c r="I21" i="23" s="1"/>
  <c r="J21" i="23" s="1"/>
  <c r="K21" i="23" s="1"/>
  <c r="L21" i="23" s="1"/>
  <c r="D31" i="23"/>
  <c r="H31" i="23"/>
  <c r="I31" i="23" s="1"/>
  <c r="J31" i="23" s="1"/>
  <c r="K31" i="23" s="1"/>
  <c r="L31" i="23" s="1"/>
  <c r="H19" i="23"/>
  <c r="I19" i="23" s="1"/>
  <c r="J19" i="23" s="1"/>
  <c r="K19" i="23" s="1"/>
  <c r="L19" i="23" s="1"/>
  <c r="D19" i="23"/>
  <c r="D29" i="23"/>
  <c r="H29" i="23"/>
  <c r="I29" i="23" s="1"/>
  <c r="J29" i="23" s="1"/>
  <c r="K29" i="23" s="1"/>
  <c r="L29" i="23" s="1"/>
  <c r="H23" i="23"/>
  <c r="I23" i="23" s="1"/>
  <c r="J23" i="23" s="1"/>
  <c r="K23" i="23" s="1"/>
  <c r="L23" i="23" s="1"/>
  <c r="D23" i="23"/>
  <c r="H17" i="23"/>
  <c r="I17" i="23" s="1"/>
  <c r="J17" i="23" s="1"/>
  <c r="K17" i="23" s="1"/>
  <c r="L17" i="23" s="1"/>
  <c r="D17" i="23"/>
  <c r="H11" i="23"/>
  <c r="I11" i="23" s="1"/>
  <c r="J11" i="23" s="1"/>
  <c r="K11" i="23" s="1"/>
  <c r="L11" i="23" s="1"/>
  <c r="D11" i="23"/>
  <c r="D27" i="23"/>
  <c r="H27" i="23"/>
  <c r="I27" i="23" s="1"/>
  <c r="J27" i="23" s="1"/>
  <c r="K27" i="23" s="1"/>
  <c r="L27" i="23" s="1"/>
  <c r="H20" i="23"/>
  <c r="I20" i="23" s="1"/>
  <c r="J20" i="23" s="1"/>
  <c r="K20" i="23" s="1"/>
  <c r="L20" i="23" s="1"/>
  <c r="D20" i="23"/>
  <c r="H28" i="23"/>
  <c r="I28" i="23" s="1"/>
  <c r="J28" i="23" s="1"/>
  <c r="K28" i="23" s="1"/>
  <c r="L28" i="23" s="1"/>
  <c r="D28" i="23"/>
  <c r="H22" i="23"/>
  <c r="I22" i="23" s="1"/>
  <c r="J22" i="23" s="1"/>
  <c r="K22" i="23" s="1"/>
  <c r="L22" i="23" s="1"/>
  <c r="D22" i="23"/>
  <c r="H16" i="23"/>
  <c r="I16" i="23" s="1"/>
  <c r="J16" i="23" s="1"/>
  <c r="K16" i="23" s="1"/>
  <c r="L16" i="23" s="1"/>
  <c r="D16" i="23"/>
  <c r="D10" i="23"/>
  <c r="H10" i="23"/>
  <c r="I10" i="23" s="1"/>
  <c r="J10" i="23" s="1"/>
  <c r="K10" i="23" s="1"/>
  <c r="L10" i="23" s="1"/>
  <c r="J37" i="1"/>
  <c r="O37" i="1"/>
  <c r="Q37" i="1"/>
  <c r="E24" i="23" l="1"/>
  <c r="F24" i="23" s="1"/>
  <c r="Q24" i="23" s="1"/>
  <c r="E20" i="23"/>
  <c r="F20" i="23" s="1"/>
  <c r="Q20" i="23" s="1"/>
  <c r="E12" i="23"/>
  <c r="F12" i="23" s="1"/>
  <c r="Q12" i="23" s="1"/>
  <c r="E30" i="23"/>
  <c r="F30" i="23" s="1"/>
  <c r="Q30" i="23" s="1"/>
  <c r="D34" i="23"/>
  <c r="E6" i="23"/>
  <c r="E32" i="23"/>
  <c r="F32" i="23" s="1"/>
  <c r="Q32" i="23" s="1"/>
  <c r="E10" i="23"/>
  <c r="F10" i="23" s="1"/>
  <c r="Q10" i="23" s="1"/>
  <c r="E21" i="23"/>
  <c r="F21" i="23" s="1"/>
  <c r="Q21" i="23" s="1"/>
  <c r="E16" i="23"/>
  <c r="F16" i="23" s="1"/>
  <c r="Q16" i="23" s="1"/>
  <c r="E19" i="23"/>
  <c r="F19" i="23" s="1"/>
  <c r="Q19" i="23" s="1"/>
  <c r="E22" i="23"/>
  <c r="F22" i="23" s="1"/>
  <c r="Q22" i="23" s="1"/>
  <c r="E23" i="23"/>
  <c r="F23" i="23" s="1"/>
  <c r="Q23" i="23" s="1"/>
  <c r="E13" i="23"/>
  <c r="F13" i="23" s="1"/>
  <c r="Q13" i="23" s="1"/>
  <c r="E15" i="23"/>
  <c r="F15" i="23" s="1"/>
  <c r="Q15" i="23" s="1"/>
  <c r="E26" i="23"/>
  <c r="F26" i="23" s="1"/>
  <c r="Q26" i="23" s="1"/>
  <c r="E17" i="23"/>
  <c r="F17" i="23" s="1"/>
  <c r="Q17" i="23" s="1"/>
  <c r="E27" i="23"/>
  <c r="F27" i="23" s="1"/>
  <c r="Q27" i="23" s="1"/>
  <c r="E31" i="23"/>
  <c r="F31" i="23" s="1"/>
  <c r="Q31" i="23" s="1"/>
  <c r="E18" i="23"/>
  <c r="F18" i="23" s="1"/>
  <c r="Q18" i="23" s="1"/>
  <c r="E14" i="23"/>
  <c r="F14" i="23" s="1"/>
  <c r="Q14" i="23" s="1"/>
  <c r="E29" i="23"/>
  <c r="F29" i="23" s="1"/>
  <c r="Q29" i="23" s="1"/>
  <c r="E25" i="23"/>
  <c r="F25" i="23" s="1"/>
  <c r="Q25" i="23" s="1"/>
  <c r="H34" i="23"/>
  <c r="I6" i="23"/>
  <c r="E28" i="23"/>
  <c r="F28" i="23" s="1"/>
  <c r="Q28" i="23" s="1"/>
  <c r="E11" i="23"/>
  <c r="F11" i="23" s="1"/>
  <c r="Q11" i="23" s="1"/>
  <c r="E7" i="23"/>
  <c r="F7" i="23" s="1"/>
  <c r="Q7" i="23" s="1"/>
  <c r="E9" i="23"/>
  <c r="F9" i="23" s="1"/>
  <c r="Q9" i="23" s="1"/>
  <c r="E8" i="23"/>
  <c r="F8" i="23" s="1"/>
  <c r="Q8" i="23" s="1"/>
  <c r="E33" i="23"/>
  <c r="F33" i="23" s="1"/>
  <c r="Q33" i="23" s="1"/>
  <c r="I37" i="1"/>
  <c r="H37" i="1"/>
  <c r="U29" i="12"/>
  <c r="T29" i="12"/>
  <c r="S29" i="12"/>
  <c r="R29" i="12"/>
  <c r="Q29" i="12"/>
  <c r="U28" i="12"/>
  <c r="T28" i="12"/>
  <c r="S28" i="12"/>
  <c r="R28" i="12"/>
  <c r="Q28" i="12"/>
  <c r="U27" i="12"/>
  <c r="T27" i="12"/>
  <c r="S27" i="12"/>
  <c r="R27" i="12"/>
  <c r="Q27" i="12"/>
  <c r="U26" i="12"/>
  <c r="T26" i="12"/>
  <c r="S26" i="12"/>
  <c r="R26" i="12"/>
  <c r="Q26" i="12"/>
  <c r="U25" i="12"/>
  <c r="T25" i="12"/>
  <c r="S25" i="12"/>
  <c r="R25" i="12"/>
  <c r="Q25" i="12"/>
  <c r="U24" i="12"/>
  <c r="T24" i="12"/>
  <c r="S24" i="12"/>
  <c r="R24" i="12"/>
  <c r="Q24" i="12"/>
  <c r="U23" i="12"/>
  <c r="T23" i="12"/>
  <c r="S23" i="12"/>
  <c r="R23" i="12"/>
  <c r="Q23" i="12"/>
  <c r="U22" i="12"/>
  <c r="T22" i="12"/>
  <c r="S22" i="12"/>
  <c r="R22" i="12"/>
  <c r="Q22" i="12"/>
  <c r="U21" i="12"/>
  <c r="T21" i="12"/>
  <c r="S21" i="12"/>
  <c r="R21" i="12"/>
  <c r="Q21" i="12"/>
  <c r="U20" i="12"/>
  <c r="T20" i="12"/>
  <c r="S20" i="12"/>
  <c r="Q20" i="12"/>
  <c r="U19" i="12"/>
  <c r="T19" i="12"/>
  <c r="S19" i="12"/>
  <c r="R19" i="12"/>
  <c r="Q19" i="12"/>
  <c r="U18" i="12"/>
  <c r="T18" i="12"/>
  <c r="S18" i="12"/>
  <c r="R18" i="12"/>
  <c r="Q18" i="12"/>
  <c r="U17" i="12"/>
  <c r="T17" i="12"/>
  <c r="S17" i="12"/>
  <c r="R17" i="12"/>
  <c r="Q17" i="12"/>
  <c r="U16" i="12"/>
  <c r="T16" i="12"/>
  <c r="S16" i="12"/>
  <c r="R16" i="12"/>
  <c r="Q16" i="12"/>
  <c r="U15" i="12"/>
  <c r="T15" i="12"/>
  <c r="S15" i="12"/>
  <c r="R15" i="12"/>
  <c r="Q15" i="12"/>
  <c r="U14" i="12"/>
  <c r="T14" i="12"/>
  <c r="S14" i="12"/>
  <c r="R14" i="12"/>
  <c r="Q14" i="12"/>
  <c r="U13" i="12"/>
  <c r="T13" i="12"/>
  <c r="S13" i="12"/>
  <c r="R13" i="12"/>
  <c r="Q13" i="12"/>
  <c r="U12" i="12"/>
  <c r="T12" i="12"/>
  <c r="S12" i="12"/>
  <c r="R12" i="12"/>
  <c r="Q12" i="12"/>
  <c r="U11" i="12"/>
  <c r="T11" i="12"/>
  <c r="S11" i="12"/>
  <c r="R11" i="12"/>
  <c r="Q11" i="12"/>
  <c r="U10" i="12"/>
  <c r="T10" i="12"/>
  <c r="S10" i="12"/>
  <c r="R10" i="12"/>
  <c r="Q10" i="12"/>
  <c r="U9" i="12"/>
  <c r="T9" i="12"/>
  <c r="S9" i="12"/>
  <c r="R9" i="12"/>
  <c r="Q9" i="12"/>
  <c r="U8" i="12"/>
  <c r="T8" i="12"/>
  <c r="S8" i="12"/>
  <c r="Q8" i="12"/>
  <c r="U7" i="12"/>
  <c r="T7" i="12"/>
  <c r="S7" i="12"/>
  <c r="R7" i="12"/>
  <c r="Q7" i="12"/>
  <c r="U6" i="12"/>
  <c r="T6" i="12"/>
  <c r="S6" i="12"/>
  <c r="R6" i="12"/>
  <c r="Q6" i="12"/>
  <c r="U5" i="12"/>
  <c r="T5" i="12"/>
  <c r="S5" i="12"/>
  <c r="R5" i="12"/>
  <c r="Q5" i="12"/>
  <c r="U4" i="12"/>
  <c r="T4" i="12"/>
  <c r="S4" i="12"/>
  <c r="R4" i="12"/>
  <c r="Q4" i="12"/>
  <c r="U3" i="12"/>
  <c r="T3" i="12"/>
  <c r="S3" i="12"/>
  <c r="R3" i="12"/>
  <c r="Q3" i="12"/>
  <c r="U2" i="12"/>
  <c r="T2" i="12"/>
  <c r="S2" i="12"/>
  <c r="R2" i="12"/>
  <c r="Q2" i="12"/>
  <c r="G29" i="2"/>
  <c r="R8" i="12"/>
  <c r="R20" i="12"/>
  <c r="E34" i="23" l="1"/>
  <c r="J6" i="23"/>
  <c r="I34" i="23"/>
  <c r="F6" i="23"/>
  <c r="G31" i="2"/>
  <c r="G25" i="2"/>
  <c r="G37" i="2"/>
  <c r="G39" i="2"/>
  <c r="G16" i="2"/>
  <c r="G28" i="2"/>
  <c r="G18" i="2"/>
  <c r="G32" i="2"/>
  <c r="G13" i="2"/>
  <c r="G15" i="2"/>
  <c r="G20" i="2"/>
  <c r="G27" i="2"/>
  <c r="G17" i="2"/>
  <c r="G30" i="2"/>
  <c r="G19" i="2"/>
  <c r="G14" i="2"/>
  <c r="G26" i="2"/>
  <c r="G38" i="2"/>
  <c r="G36" i="2"/>
  <c r="G24" i="2"/>
  <c r="G35" i="2"/>
  <c r="G23" i="2"/>
  <c r="G34" i="2"/>
  <c r="G22" i="2"/>
  <c r="G12" i="2"/>
  <c r="G33" i="2"/>
  <c r="G21" i="2"/>
  <c r="AG25" i="12"/>
  <c r="AG13" i="12"/>
  <c r="AG15" i="12"/>
  <c r="AG3" i="12"/>
  <c r="AG26" i="12"/>
  <c r="AG14" i="12"/>
  <c r="AG10" i="12"/>
  <c r="AG22" i="12"/>
  <c r="AG27" i="12"/>
  <c r="AG24" i="12"/>
  <c r="AG11" i="12"/>
  <c r="AG4" i="12"/>
  <c r="AG28" i="12"/>
  <c r="AG23" i="12"/>
  <c r="AG16" i="12"/>
  <c r="AG12" i="12"/>
  <c r="AG21" i="12"/>
  <c r="AG9" i="12"/>
  <c r="AG29" i="12"/>
  <c r="AG20" i="12"/>
  <c r="AG8" i="12"/>
  <c r="AG19" i="12"/>
  <c r="AG7" i="12"/>
  <c r="AG17" i="12"/>
  <c r="AG2" i="12"/>
  <c r="AG18" i="12"/>
  <c r="AG6" i="12"/>
  <c r="AG5" i="12"/>
  <c r="C33" i="3"/>
  <c r="Q30" i="12" s="1"/>
  <c r="D33" i="3"/>
  <c r="R30" i="12" s="1"/>
  <c r="F34" i="23" l="1"/>
  <c r="K6" i="23"/>
  <c r="J34" i="23"/>
  <c r="G40" i="2"/>
  <c r="AG30" i="12"/>
  <c r="A2" i="12"/>
  <c r="AF30" i="12"/>
  <c r="AE30" i="12"/>
  <c r="AD30" i="12"/>
  <c r="AB30" i="12"/>
  <c r="AA30" i="12"/>
  <c r="Z30" i="12"/>
  <c r="Y30" i="12"/>
  <c r="X30" i="12"/>
  <c r="W30" i="12"/>
  <c r="V30" i="12"/>
  <c r="B19" i="18" a="1"/>
  <c r="E2" i="12" l="1"/>
  <c r="P2" i="12"/>
  <c r="D2" i="12"/>
  <c r="L6" i="23"/>
  <c r="L34" i="23" s="1"/>
  <c r="K34" i="23"/>
  <c r="B19" i="18"/>
  <c r="AC7" i="12"/>
  <c r="AH7" i="12" s="1"/>
  <c r="AI7" i="12" s="1"/>
  <c r="AC19" i="12"/>
  <c r="AH19" i="12" s="1"/>
  <c r="AI19" i="12" s="1"/>
  <c r="AC3" i="12"/>
  <c r="AH3" i="12" s="1"/>
  <c r="AI3" i="12" s="1"/>
  <c r="AC15" i="12"/>
  <c r="AH15" i="12" s="1"/>
  <c r="AI15" i="12" s="1"/>
  <c r="AC5" i="12"/>
  <c r="AH5" i="12" s="1"/>
  <c r="AI5" i="12" s="1"/>
  <c r="AC25" i="12"/>
  <c r="AH25" i="12" s="1"/>
  <c r="AC8" i="12"/>
  <c r="AH8" i="12" s="1"/>
  <c r="AC4" i="12"/>
  <c r="AH4" i="12" s="1"/>
  <c r="AC13" i="12"/>
  <c r="AH13" i="12" s="1"/>
  <c r="AI13" i="12" s="1"/>
  <c r="AC28" i="12"/>
  <c r="AH28" i="12" s="1"/>
  <c r="AC16" i="12"/>
  <c r="AH16" i="12" s="1"/>
  <c r="AC22" i="12"/>
  <c r="AH22" i="12" s="1"/>
  <c r="AC10" i="12"/>
  <c r="AH10" i="12" s="1"/>
  <c r="AC23" i="12"/>
  <c r="AH23" i="12" s="1"/>
  <c r="AI23" i="12" s="1"/>
  <c r="AC26" i="12"/>
  <c r="AH26" i="12" s="1"/>
  <c r="AI26" i="12" s="1"/>
  <c r="AC20" i="12"/>
  <c r="AH20" i="12" s="1"/>
  <c r="AI20" i="12" s="1"/>
  <c r="AC18" i="12"/>
  <c r="AH18" i="12" s="1"/>
  <c r="AC17" i="12"/>
  <c r="AH17" i="12" s="1"/>
  <c r="AI17" i="12" s="1"/>
  <c r="AC2" i="12"/>
  <c r="AC12" i="12"/>
  <c r="AH12" i="12" s="1"/>
  <c r="AC27" i="12"/>
  <c r="AH27" i="12" s="1"/>
  <c r="AC14" i="12"/>
  <c r="AH14" i="12" s="1"/>
  <c r="AI14" i="12" s="1"/>
  <c r="AC21" i="12"/>
  <c r="AH21" i="12" s="1"/>
  <c r="AI21" i="12" s="1"/>
  <c r="AC24" i="12"/>
  <c r="AH24" i="12" s="1"/>
  <c r="AI24" i="12" s="1"/>
  <c r="AC9" i="12"/>
  <c r="AH9" i="12" s="1"/>
  <c r="AI9" i="12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" i="4"/>
  <c r="A4" i="5" s="1"/>
  <c r="Q6" i="23" l="1"/>
  <c r="Q34" i="23" s="1"/>
  <c r="AI25" i="12"/>
  <c r="AC6" i="12"/>
  <c r="AH6" i="12" s="1"/>
  <c r="AI6" i="12" s="1"/>
  <c r="AI4" i="12"/>
  <c r="AI8" i="12"/>
  <c r="AI28" i="12"/>
  <c r="AI16" i="12"/>
  <c r="AI10" i="12"/>
  <c r="AC29" i="12"/>
  <c r="AH29" i="12" s="1"/>
  <c r="AI29" i="12" s="1"/>
  <c r="AI18" i="12"/>
  <c r="AC11" i="12"/>
  <c r="AH11" i="12" s="1"/>
  <c r="AI11" i="12" s="1"/>
  <c r="AI22" i="12"/>
  <c r="AI27" i="12"/>
  <c r="AI12" i="12"/>
  <c r="AH2" i="12"/>
  <c r="G33" i="3"/>
  <c r="U30" i="12" s="1"/>
  <c r="F33" i="3"/>
  <c r="T30" i="12" s="1"/>
  <c r="E33" i="3"/>
  <c r="S30" i="12" s="1"/>
  <c r="B8" i="4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39" i="2"/>
  <c r="L39" i="2" s="1"/>
  <c r="J12" i="2"/>
  <c r="L12" i="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D39" i="2"/>
  <c r="J29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K26" i="1"/>
  <c r="M26" i="1" s="1"/>
  <c r="L26" i="1" s="1"/>
  <c r="K27" i="1"/>
  <c r="M27" i="1" s="1"/>
  <c r="L27" i="1" s="1"/>
  <c r="K28" i="1"/>
  <c r="M28" i="1" s="1"/>
  <c r="K31" i="1"/>
  <c r="M31" i="1" s="1"/>
  <c r="K32" i="1"/>
  <c r="M32" i="1" s="1"/>
  <c r="L32" i="1" s="1"/>
  <c r="K33" i="1"/>
  <c r="M33" i="1" s="1"/>
  <c r="L33" i="1" s="1"/>
  <c r="K34" i="1"/>
  <c r="M34" i="1" s="1"/>
  <c r="K35" i="1"/>
  <c r="M35" i="1" s="1"/>
  <c r="L35" i="1" s="1"/>
  <c r="K36" i="1"/>
  <c r="M36" i="1" s="1"/>
  <c r="F36" i="5"/>
  <c r="G36" i="5"/>
  <c r="I36" i="5"/>
  <c r="B17" i="2"/>
  <c r="B13" i="5" s="1"/>
  <c r="B29" i="2"/>
  <c r="B25" i="5" s="1"/>
  <c r="B38" i="2"/>
  <c r="B34" i="5" s="1"/>
  <c r="B12" i="2"/>
  <c r="B8" i="5" s="1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H40" i="2"/>
  <c r="K40" i="2"/>
  <c r="E12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E39" i="2"/>
  <c r="M39" i="2"/>
  <c r="AC30" i="12" l="1"/>
  <c r="AH30" i="12"/>
  <c r="AI2" i="12"/>
  <c r="AI30" i="12" s="1"/>
  <c r="B39" i="2"/>
  <c r="B35" i="5" s="1"/>
  <c r="A29" i="12"/>
  <c r="B32" i="3"/>
  <c r="C29" i="12"/>
  <c r="A28" i="12"/>
  <c r="B31" i="3"/>
  <c r="C28" i="12"/>
  <c r="A16" i="12"/>
  <c r="C16" i="12"/>
  <c r="B19" i="3"/>
  <c r="A4" i="12"/>
  <c r="C4" i="12"/>
  <c r="B7" i="3"/>
  <c r="B26" i="2"/>
  <c r="B22" i="5" s="1"/>
  <c r="A27" i="12"/>
  <c r="B30" i="3"/>
  <c r="C27" i="12"/>
  <c r="B13" i="2"/>
  <c r="B9" i="5" s="1"/>
  <c r="A3" i="12"/>
  <c r="C3" i="12"/>
  <c r="B6" i="3"/>
  <c r="A14" i="12"/>
  <c r="B17" i="3"/>
  <c r="C14" i="12"/>
  <c r="B14" i="2"/>
  <c r="B10" i="5" s="1"/>
  <c r="A25" i="12"/>
  <c r="C25" i="12"/>
  <c r="B28" i="3"/>
  <c r="A13" i="12"/>
  <c r="C13" i="12"/>
  <c r="B16" i="3"/>
  <c r="B27" i="2"/>
  <c r="B23" i="5" s="1"/>
  <c r="A17" i="12"/>
  <c r="C17" i="12"/>
  <c r="B20" i="3"/>
  <c r="B15" i="2"/>
  <c r="B11" i="5" s="1"/>
  <c r="A5" i="12"/>
  <c r="C5" i="12"/>
  <c r="B8" i="3"/>
  <c r="A15" i="12"/>
  <c r="C15" i="12"/>
  <c r="B18" i="3"/>
  <c r="A12" i="12"/>
  <c r="C12" i="12"/>
  <c r="B15" i="3"/>
  <c r="A23" i="12"/>
  <c r="C23" i="12"/>
  <c r="B26" i="3"/>
  <c r="A22" i="12"/>
  <c r="B25" i="3"/>
  <c r="C22" i="12"/>
  <c r="A21" i="12"/>
  <c r="B24" i="3"/>
  <c r="C21" i="12"/>
  <c r="N23" i="1"/>
  <c r="P23" i="1" s="1"/>
  <c r="R23" i="1" s="1"/>
  <c r="E22" i="5" s="1"/>
  <c r="K22" i="5" s="1"/>
  <c r="B34" i="2"/>
  <c r="C34" i="2" s="1"/>
  <c r="A24" i="12"/>
  <c r="B27" i="3"/>
  <c r="C24" i="12"/>
  <c r="A9" i="12"/>
  <c r="B12" i="3"/>
  <c r="C9" i="12"/>
  <c r="B30" i="2"/>
  <c r="B26" i="5" s="1"/>
  <c r="A20" i="12"/>
  <c r="B23" i="3"/>
  <c r="C20" i="12"/>
  <c r="B18" i="2"/>
  <c r="B14" i="5" s="1"/>
  <c r="A8" i="12"/>
  <c r="B11" i="3"/>
  <c r="C8" i="12"/>
  <c r="A26" i="12"/>
  <c r="C26" i="12"/>
  <c r="B29" i="3"/>
  <c r="C8" i="4"/>
  <c r="A19" i="12"/>
  <c r="C19" i="12"/>
  <c r="B22" i="3"/>
  <c r="A7" i="12"/>
  <c r="C7" i="12"/>
  <c r="B10" i="3"/>
  <c r="A11" i="12"/>
  <c r="C11" i="12"/>
  <c r="B14" i="3"/>
  <c r="A10" i="12"/>
  <c r="C10" i="12"/>
  <c r="B13" i="3"/>
  <c r="C8" i="5"/>
  <c r="B2" i="12" s="1"/>
  <c r="B5" i="3"/>
  <c r="C2" i="12"/>
  <c r="A18" i="12"/>
  <c r="C18" i="12"/>
  <c r="B21" i="3"/>
  <c r="A6" i="12"/>
  <c r="B9" i="3"/>
  <c r="C6" i="12"/>
  <c r="B37" i="2"/>
  <c r="C37" i="2" s="1"/>
  <c r="B25" i="2"/>
  <c r="B21" i="5" s="1"/>
  <c r="L36" i="1"/>
  <c r="N36" i="1"/>
  <c r="P36" i="1" s="1"/>
  <c r="R36" i="1" s="1"/>
  <c r="E35" i="5" s="1"/>
  <c r="K35" i="5" s="1"/>
  <c r="C12" i="2"/>
  <c r="N26" i="1"/>
  <c r="P26" i="1" s="1"/>
  <c r="R26" i="1" s="1"/>
  <c r="E25" i="5" s="1"/>
  <c r="K25" i="5" s="1"/>
  <c r="N35" i="1"/>
  <c r="P35" i="1" s="1"/>
  <c r="R35" i="1" s="1"/>
  <c r="E34" i="5" s="1"/>
  <c r="K34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9" i="1"/>
  <c r="M29" i="1" s="1"/>
  <c r="L29" i="1" s="1"/>
  <c r="C38" i="2"/>
  <c r="L34" i="1"/>
  <c r="N34" i="1"/>
  <c r="P34" i="1" s="1"/>
  <c r="R34" i="1" s="1"/>
  <c r="E33" i="5" s="1"/>
  <c r="K33" i="5" s="1"/>
  <c r="L31" i="1"/>
  <c r="N31" i="1"/>
  <c r="P31" i="1" s="1"/>
  <c r="R31" i="1" s="1"/>
  <c r="E30" i="5" s="1"/>
  <c r="K30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8" i="1"/>
  <c r="N28" i="1"/>
  <c r="P28" i="1" s="1"/>
  <c r="R28" i="1" s="1"/>
  <c r="E27" i="5" s="1"/>
  <c r="K27" i="5" s="1"/>
  <c r="L25" i="1"/>
  <c r="N25" i="1"/>
  <c r="P25" i="1" s="1"/>
  <c r="R25" i="1" s="1"/>
  <c r="E24" i="5" s="1"/>
  <c r="K24" i="5" s="1"/>
  <c r="N33" i="1"/>
  <c r="P33" i="1" s="1"/>
  <c r="R33" i="1" s="1"/>
  <c r="E32" i="5" s="1"/>
  <c r="K32" i="5" s="1"/>
  <c r="N21" i="1"/>
  <c r="P21" i="1" s="1"/>
  <c r="R21" i="1" s="1"/>
  <c r="E20" i="5" s="1"/>
  <c r="K20" i="5" s="1"/>
  <c r="N32" i="1"/>
  <c r="P32" i="1" s="1"/>
  <c r="R32" i="1" s="1"/>
  <c r="E31" i="5" s="1"/>
  <c r="K31" i="5" s="1"/>
  <c r="K30" i="1"/>
  <c r="M30" i="1" s="1"/>
  <c r="L30" i="1" s="1"/>
  <c r="N20" i="1"/>
  <c r="P20" i="1" s="1"/>
  <c r="R20" i="1" s="1"/>
  <c r="E19" i="5" s="1"/>
  <c r="K19" i="5" s="1"/>
  <c r="K18" i="1"/>
  <c r="M18" i="1" s="1"/>
  <c r="L18" i="1" s="1"/>
  <c r="N27" i="1"/>
  <c r="P27" i="1" s="1"/>
  <c r="R27" i="1" s="1"/>
  <c r="E26" i="5" s="1"/>
  <c r="K26" i="5" s="1"/>
  <c r="N15" i="1"/>
  <c r="P15" i="1" s="1"/>
  <c r="R15" i="1" s="1"/>
  <c r="E14" i="5" s="1"/>
  <c r="K14" i="5" s="1"/>
  <c r="C25" i="5"/>
  <c r="B19" i="12" s="1"/>
  <c r="C13" i="5"/>
  <c r="B7" i="12" s="1"/>
  <c r="C9" i="5"/>
  <c r="B3" i="12" s="1"/>
  <c r="C34" i="5"/>
  <c r="B28" i="12" s="1"/>
  <c r="B36" i="2"/>
  <c r="B24" i="2"/>
  <c r="B20" i="5" s="1"/>
  <c r="B35" i="2"/>
  <c r="B23" i="2"/>
  <c r="B19" i="5" s="1"/>
  <c r="B33" i="2"/>
  <c r="B21" i="2"/>
  <c r="B17" i="5" s="1"/>
  <c r="B32" i="2"/>
  <c r="B20" i="2"/>
  <c r="B16" i="5" s="1"/>
  <c r="B19" i="2"/>
  <c r="B15" i="5" s="1"/>
  <c r="C29" i="2"/>
  <c r="B22" i="2"/>
  <c r="B18" i="5" s="1"/>
  <c r="B31" i="2"/>
  <c r="B28" i="2"/>
  <c r="B24" i="5" s="1"/>
  <c r="B16" i="2"/>
  <c r="B12" i="5" s="1"/>
  <c r="E12" i="12" l="1"/>
  <c r="P12" i="12"/>
  <c r="D12" i="12"/>
  <c r="D26" i="12"/>
  <c r="E26" i="12"/>
  <c r="P26" i="12"/>
  <c r="D13" i="12"/>
  <c r="E13" i="12"/>
  <c r="P13" i="12"/>
  <c r="P28" i="12"/>
  <c r="D28" i="12"/>
  <c r="E28" i="12"/>
  <c r="E6" i="12"/>
  <c r="P6" i="12"/>
  <c r="D6" i="12"/>
  <c r="E11" i="12"/>
  <c r="P11" i="12"/>
  <c r="D11" i="12"/>
  <c r="D19" i="12"/>
  <c r="E19" i="12"/>
  <c r="P19" i="12"/>
  <c r="E24" i="12"/>
  <c r="P24" i="12"/>
  <c r="D24" i="12"/>
  <c r="E17" i="12"/>
  <c r="P17" i="12"/>
  <c r="D17" i="12"/>
  <c r="P27" i="12"/>
  <c r="D27" i="12"/>
  <c r="E27" i="12"/>
  <c r="D8" i="12"/>
  <c r="E8" i="12"/>
  <c r="P8" i="12"/>
  <c r="D25" i="12"/>
  <c r="E25" i="12"/>
  <c r="P25" i="12"/>
  <c r="P16" i="12"/>
  <c r="D16" i="12"/>
  <c r="E16" i="12"/>
  <c r="E29" i="12"/>
  <c r="P29" i="12"/>
  <c r="D29" i="12"/>
  <c r="P22" i="12"/>
  <c r="D22" i="12"/>
  <c r="E22" i="12"/>
  <c r="E5" i="12"/>
  <c r="P5" i="12"/>
  <c r="D5" i="12"/>
  <c r="P3" i="12"/>
  <c r="D3" i="12"/>
  <c r="E3" i="12"/>
  <c r="E18" i="12"/>
  <c r="P18" i="12"/>
  <c r="D18" i="12"/>
  <c r="P10" i="12"/>
  <c r="D10" i="12"/>
  <c r="E10" i="12"/>
  <c r="D7" i="12"/>
  <c r="E7" i="12"/>
  <c r="P7" i="12"/>
  <c r="P9" i="12"/>
  <c r="D9" i="12"/>
  <c r="E9" i="12"/>
  <c r="P4" i="12"/>
  <c r="D4" i="12"/>
  <c r="E4" i="12"/>
  <c r="D20" i="12"/>
  <c r="E20" i="12"/>
  <c r="P20" i="12"/>
  <c r="P21" i="12"/>
  <c r="D21" i="12"/>
  <c r="E21" i="12"/>
  <c r="E23" i="12"/>
  <c r="P23" i="12"/>
  <c r="D23" i="12"/>
  <c r="P15" i="12"/>
  <c r="D15" i="12"/>
  <c r="E15" i="12"/>
  <c r="D14" i="12"/>
  <c r="E14" i="12"/>
  <c r="P14" i="12"/>
  <c r="C39" i="2"/>
  <c r="C30" i="2"/>
  <c r="C11" i="5"/>
  <c r="B5" i="12" s="1"/>
  <c r="B30" i="5"/>
  <c r="C10" i="5"/>
  <c r="B4" i="12" s="1"/>
  <c r="J22" i="5"/>
  <c r="C22" i="5"/>
  <c r="B16" i="12" s="1"/>
  <c r="B33" i="5"/>
  <c r="C21" i="5"/>
  <c r="B15" i="12" s="1"/>
  <c r="C23" i="5"/>
  <c r="B17" i="12" s="1"/>
  <c r="J23" i="5"/>
  <c r="J14" i="5"/>
  <c r="C14" i="5"/>
  <c r="B8" i="12" s="1"/>
  <c r="J34" i="5"/>
  <c r="N29" i="1"/>
  <c r="P29" i="1" s="1"/>
  <c r="R29" i="1" s="1"/>
  <c r="E28" i="5" s="1"/>
  <c r="K28" i="5" s="1"/>
  <c r="J25" i="5"/>
  <c r="J21" i="5"/>
  <c r="N18" i="1"/>
  <c r="P18" i="1" s="1"/>
  <c r="R18" i="1" s="1"/>
  <c r="E17" i="5" s="1"/>
  <c r="K17" i="5" s="1"/>
  <c r="N30" i="1"/>
  <c r="P30" i="1" s="1"/>
  <c r="R30" i="1" s="1"/>
  <c r="E29" i="5" s="1"/>
  <c r="K29" i="5" s="1"/>
  <c r="C19" i="5"/>
  <c r="B13" i="12" s="1"/>
  <c r="J19" i="5"/>
  <c r="J35" i="5"/>
  <c r="C35" i="5"/>
  <c r="B29" i="12" s="1"/>
  <c r="C26" i="5"/>
  <c r="B20" i="12" s="1"/>
  <c r="J26" i="5"/>
  <c r="J15" i="5"/>
  <c r="C15" i="5"/>
  <c r="B9" i="12" s="1"/>
  <c r="J16" i="5"/>
  <c r="C16" i="5"/>
  <c r="B10" i="12" s="1"/>
  <c r="C24" i="5"/>
  <c r="B18" i="12" s="1"/>
  <c r="J24" i="5"/>
  <c r="C17" i="5"/>
  <c r="B11" i="12" s="1"/>
  <c r="C20" i="5"/>
  <c r="B14" i="12" s="1"/>
  <c r="J20" i="5"/>
  <c r="C32" i="2"/>
  <c r="B28" i="5"/>
  <c r="C12" i="5"/>
  <c r="B6" i="12" s="1"/>
  <c r="C35" i="2"/>
  <c r="B31" i="5"/>
  <c r="C31" i="2"/>
  <c r="B27" i="5"/>
  <c r="C33" i="2"/>
  <c r="B29" i="5"/>
  <c r="C36" i="2"/>
  <c r="B32" i="5"/>
  <c r="C18" i="5"/>
  <c r="B12" i="12" s="1"/>
  <c r="J18" i="5"/>
  <c r="J30" i="5" l="1"/>
  <c r="C30" i="5"/>
  <c r="B24" i="12" s="1"/>
  <c r="C33" i="5"/>
  <c r="B27" i="12" s="1"/>
  <c r="J33" i="5"/>
  <c r="J17" i="5"/>
  <c r="C31" i="5"/>
  <c r="B25" i="12" s="1"/>
  <c r="J31" i="5"/>
  <c r="J29" i="5"/>
  <c r="C29" i="5"/>
  <c r="B23" i="12" s="1"/>
  <c r="J27" i="5"/>
  <c r="C27" i="5"/>
  <c r="B21" i="12" s="1"/>
  <c r="J28" i="5"/>
  <c r="C28" i="5"/>
  <c r="B22" i="12" s="1"/>
  <c r="C32" i="5"/>
  <c r="B26" i="12" s="1"/>
  <c r="J32" i="5"/>
  <c r="H36" i="5" l="1"/>
  <c r="B36" i="3" l="1"/>
  <c r="B44" i="2" s="1"/>
  <c r="B13" i="4" s="1"/>
  <c r="B37" i="3"/>
  <c r="B45" i="2" s="1"/>
  <c r="B14" i="4" s="1"/>
  <c r="B35" i="3"/>
  <c r="B43" i="2" s="1"/>
  <c r="B12" i="4" s="1"/>
  <c r="C7" i="2"/>
  <c r="C6" i="2"/>
  <c r="C5" i="2"/>
  <c r="F35" i="3"/>
  <c r="K43" i="2" s="1"/>
  <c r="I12" i="4" s="1"/>
  <c r="L8" i="5" l="1"/>
  <c r="K9" i="4"/>
  <c r="J9" i="4"/>
  <c r="I9" i="4"/>
  <c r="H9" i="4"/>
  <c r="L8" i="4"/>
  <c r="L9" i="4" s="1"/>
  <c r="M28" i="2"/>
  <c r="J28" i="2"/>
  <c r="L28" i="2" s="1"/>
  <c r="E28" i="2"/>
  <c r="D28" i="2"/>
  <c r="J18" i="12" s="1"/>
  <c r="C28" i="2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K37" i="1" l="1"/>
  <c r="L13" i="2"/>
  <c r="L40" i="2" s="1"/>
  <c r="J40" i="2"/>
  <c r="K13" i="5"/>
  <c r="J13" i="5"/>
  <c r="K11" i="5"/>
  <c r="J11" i="5"/>
  <c r="M9" i="1"/>
  <c r="M37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N9" i="1" l="1"/>
  <c r="N37" i="1" s="1"/>
  <c r="E8" i="4"/>
  <c r="E9" i="4" s="1"/>
  <c r="K12" i="5"/>
  <c r="J12" i="5"/>
  <c r="K10" i="5"/>
  <c r="J10" i="5"/>
  <c r="L9" i="1"/>
  <c r="L37" i="1" s="1"/>
  <c r="P10" i="1"/>
  <c r="F8" i="4" l="1"/>
  <c r="F9" i="4" s="1"/>
  <c r="G8" i="4"/>
  <c r="G9" i="4" s="1"/>
  <c r="P9" i="1"/>
  <c r="P37" i="1" s="1"/>
  <c r="R10" i="1"/>
  <c r="E9" i="5" s="1"/>
  <c r="K9" i="5" l="1"/>
  <c r="J9" i="5"/>
  <c r="R9" i="1"/>
  <c r="R37" i="1" s="1"/>
  <c r="E8" i="5" l="1"/>
  <c r="K8" i="5" l="1"/>
  <c r="K36" i="5" s="1"/>
  <c r="J8" i="5"/>
  <c r="J36" i="5" s="1"/>
  <c r="E3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<sst xmlns="http://schemas.openxmlformats.org/spreadsheetml/2006/main" count="1069" uniqueCount="476">
  <si>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</si>
  <si>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</si>
  <si>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</si>
  <si>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</si>
  <si>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</si>
  <si>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</si>
  <si>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</si>
  <si>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</si>
  <si>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</si>
  <si>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</si>
  <si>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</si>
  <si>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</si>
  <si>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</si>
  <si>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</si>
  <si>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</si>
  <si>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</si>
  <si>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</si>
  <si>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</si>
  <si>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</si>
  <si>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</si>
  <si>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</si>
  <si>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</si>
  <si>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</si>
  <si>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</si>
  <si>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</si>
  <si>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</si>
  <si>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</si>
  <si>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</si>
  <si>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</si>
  <si>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</si>
  <si>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</si>
  <si>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</si>
  <si>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</si>
  <si>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</si>
  <si>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</si>
  <si>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</si>
  <si>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</si>
  <si>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</si>
  <si>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</si>
  <si>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</si>
  <si>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</si>
  <si>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</si>
  <si>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</si>
  <si>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</si>
  <si>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</si>
  <si>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</si>
  <si>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</si>
  <si>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</si>
  <si>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</si>
  <si>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</si>
  <si>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</si>
  <si>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</si>
  <si>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</si>
  <si>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</si>
  <si>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</si>
  <si>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</si>
  <si>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</si>
  <si>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</si>
  <si>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</si>
  <si>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</si>
  <si>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</si>
  <si>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</si>
  <si>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</si>
  <si>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</si>
  <si>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</si>
  <si>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</si>
  <si>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</si>
  <si>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</si>
  <si>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</si>
  <si>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</si>
  <si>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</si>
  <si>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</si>
  <si>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</si>
  <si>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</si>
  <si>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</si>
  <si>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</si>
  <si>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</si>
  <si>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</si>
  <si>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</si>
  <si>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</si>
  <si>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</si>
  <si>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</si>
  <si>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</si>
  <si>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</si>
  <si>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</si>
  <si>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</si>
  <si>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</si>
  <si>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</si>
  <si>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</si>
  <si>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</si>
  <si>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</si>
  <si>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</si>
  <si>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</si>
  <si>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</si>
  <si>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</si>
  <si>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</si>
  <si>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</si>
  <si>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</si>
  <si>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</si>
  <si>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</si>
  <si>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</si>
  <si>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</si>
  <si>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</si>
  <si>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</si>
  <si>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</si>
  <si>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</si>
  <si>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</si>
  <si>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</si>
  <si>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</si>
  <si>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</si>
  <si>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</si>
  <si>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</si>
  <si>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</si>
  <si>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</si>
  <si>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</si>
  <si>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</si>
  <si>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</si>
  <si>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</si>
  <si>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</si>
  <si>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</si>
  <si>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</si>
  <si>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</si>
  <si>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</si>
  <si>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</si>
  <si>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</si>
  <si>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</si>
  <si>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</si>
  <si>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</si>
  <si>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</si>
  <si>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</si>
  <si>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</si>
  <si>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</si>
  <si>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</si>
  <si>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</si>
  <si>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</si>
  <si>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</si>
  <si>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</si>
  <si>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</si>
  <si>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</si>
  <si>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</si>
  <si>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</si>
  <si>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</si>
  <si>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</si>
  <si>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</si>
  <si>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</si>
  <si>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</si>
  <si>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</si>
  <si>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</si>
  <si>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</si>
  <si>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</si>
  <si>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</si>
  <si>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</si>
  <si>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</si>
  <si>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</si>
  <si>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</si>
  <si>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</si>
  <si>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LUQMAN SYARIEF
NIP.198010042010011016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</si>
  <si>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</si>
  <si>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</si>
  <si>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</si>
  <si>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</si>
  <si>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</si>
  <si>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</si>
  <si>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</si>
  <si>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</si>
  <si>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</si>
  <si>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</si>
  <si>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</si>
  <si>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</si>
  <si>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</si>
  <si>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</si>
  <si>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</si>
  <si>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</si>
  <si>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</si>
  <si>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</si>
  <si>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</si>
  <si>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</si>
  <si>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</si>
  <si>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</si>
  <si>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</si>
  <si>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</si>
  <si>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Bendahara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</si>
  <si>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</si>
  <si>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</si>
  <si>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</si>
  <si>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</si>
  <si>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</si>
  <si>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</si>
  <si>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</si>
  <si>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</si>
  <si>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</si>
  <si>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</si>
  <si>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</si>
  <si>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</si>
  <si>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</si>
  <si>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</si>
  <si>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</si>
  <si>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</si>
  <si>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</si>
  <si>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</si>
  <si>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</si>
  <si>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</si>
  <si>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</si>
  <si>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</si>
  <si>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</si>
  <si>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</si>
  <si>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</si>
  <si>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</si>
  <si>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</si>
  <si>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</si>
  <si>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</si>
  <si>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</si>
  <si>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</si>
  <si>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</si>
  <si>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</si>
  <si>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</si>
  <si>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</si>
  <si>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</si>
  <si>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</si>
  <si>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</si>
  <si>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</si>
  <si>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</si>
  <si>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</si>
  <si>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</si>
  <si>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</si>
  <si>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</si>
  <si>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</si>
  <si>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</si>
  <si>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</si>
  <si>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</si>
  <si>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</si>
  <si>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</si>
  <si>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</si>
  <si>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</si>
  <si>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</si>
  <si>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</si>
  <si>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</si>
  <si>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</si>
  <si>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</si>
  <si>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</si>
  <si>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</si>
  <si>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</si>
  <si>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</si>
  <si>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</si>
  <si>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</si>
  <si>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</si>
  <si>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</si>
  <si>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</si>
  <si>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</si>
  <si>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</si>
  <si>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</si>
  <si>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</si>
  <si>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</si>
  <si>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</si>
  <si>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</si>
  <si>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</si>
  <si>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</si>
  <si>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</si>
  <si>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</si>
  <si>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</si>
  <si>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</si>
  <si>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</si>
  <si>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</si>
  <si>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</si>
  <si>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</si>
  <si>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</si>
  <si>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</si>
  <si>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</si>
  <si>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</si>
  <si>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</si>
  <si>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</si>
  <si>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</si>
  <si>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</si>
  <si>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</si>
  <si>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</si>
  <si>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</si>
  <si>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</si>
  <si>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</si>
  <si>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</si>
  <si>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</si>
  <si>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</si>
  <si>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</si>
  <si>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</si>
  <si>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</si>
  <si>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</si>
  <si>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</si>
  <si>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</si>
  <si>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</si>
  <si>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</si>
  <si>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</si>
  <si>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</si>
  <si>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</si>
  <si>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</si>
  <si>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</si>
  <si>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</si>
  <si>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</si>
  <si>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</si>
  <si>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</si>
  <si>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</si>
  <si>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</si>
  <si>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</si>
  <si>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</si>
  <si>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</si>
  <si>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</si>
  <si>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</si>
  <si>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</si>
  <si>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</si>
  <si>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</si>
  <si>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</si>
  <si>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</si>
  <si>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</si>
  <si>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</si>
  <si>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</si>
  <si>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</si>
  <si>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</si>
  <si>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</si>
  <si>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</si>
  <si>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</si>
  <si>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</si>
  <si>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</si>
  <si>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</si>
  <si>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</si>
  <si>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</si>
  <si>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</si>
  <si>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</si>
  <si>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</si>
  <si>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</si>
  <si>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</si>
  <si>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</si>
  <si>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</si>
  <si>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</si>
  <si>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</si>
  <si>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</si>
  <si>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</si>
  <si>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</si>
  <si>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</si>
  <si>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</si>
  <si>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</si>
  <si>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</si>
  <si>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</si>
  <si>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</si>
  <si>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</si>
  <si>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</si>
  <si>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</si>
  <si>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</si>
  <si>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</si>
  <si>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</si>
  <si>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</si>
  <si>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</si>
  <si>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</si>
  <si>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</si>
  <si>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</si>
  <si>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</si>
  <si>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</si>
  <si>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</si>
  <si>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</si>
  <si>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</si>
  <si>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</si>
  <si>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</si>
  <si>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</si>
  <si>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</si>
  <si>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</si>
  <si>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</si>
  <si>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</si>
  <si>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GOLONGAN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</si>
  <si>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</si>
  <si>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</si>
  <si>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</si>
  <si>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</si>
  <si>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</si>
  <si>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</si>
  <si>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</si>
  <si>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</si>
  <si>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</si>
  <si>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</si>
  <si>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</si>
  <si>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</si>
  <si>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</si>
  <si>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</si>
  <si>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</si>
  <si>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</si>
  <si>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</si>
  <si>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</si>
  <si>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</si>
  <si>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</si>
  <si>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</si>
  <si>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</si>
  <si>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</si>
  <si>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</si>
  <si>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</si>
  <si>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</si>
  <si>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</si>
  <si>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</si>
  <si>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</si>
  <si>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</si>
  <si>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</si>
  <si>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</si>
  <si>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</si>
  <si>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</si>
  <si>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</si>
  <si>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</si>
  <si>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</si>
  <si>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</si>
  <si>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</si>
  <si>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</si>
  <si>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</si>
  <si>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</si>
  <si>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</si>
  <si>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</si>
  <si>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</si>
  <si>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</si>
  <si>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</si>
  <si>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</si>
  <si>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</si>
  <si>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</si>
  <si>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</si>
  <si>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</si>
  <si>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</si>
  <si>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</si>
  <si>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</si>
  <si>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</si>
  <si>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</si>
  <si>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</si>
  <si>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</si>
  <si>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</si>
  <si>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</si>
  <si>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</si>
  <si>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</si>
  <si>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</si>
  <si>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</si>
  <si>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</si>
  <si>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</si>
  <si>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</si>
  <si>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</si>
  <si>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</si>
  <si>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</si>
  <si>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</si>
  <si>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</si>
  <si>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</si>
  <si>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</si>
  <si>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</si>
  <si>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</si>
  <si>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</si>
  <si>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</si>
  <si>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</si>
  <si>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</si>
  <si>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</si>
  <si>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</si>
  <si>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</si>
  <si>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</si>
  <si>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</si>
  <si>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</si>
  <si>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</si>
  <si>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</si>
  <si>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</si>
  <si>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</si>
  <si>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</si>
  <si>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</si>
  <si>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</si>
  <si>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</si>
  <si>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</si>
  <si>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</si>
  <si>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</si>
  <si>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</si>
  <si>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</si>
  <si>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</si>
  <si>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</si>
  <si>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</si>
  <si>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</si>
  <si>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</si>
  <si>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</si>
  <si>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</si>
  <si>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</si>
  <si>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</si>
  <si>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BESARAN_TPP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</si>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</sst>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4" fontId="0" fillId="0" borderId="0" xfId="0" applyNumberFormat="1" applyFont="1" applyAlignment="1"/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174" fontId="1" fillId="0" borderId="0" xfId="0" applyNumberFormat="1" applyFont="1" applyFill="1" applyAlignment="1">
      <alignment horizontal="left" indent="1"/>
    </xf>
    <xf numFmtId="1" fontId="1" fillId="0" borderId="2" xfId="0" applyNumberFormat="1" applyFont="1" applyFill="1" applyBorder="1" applyAlignment="1">
      <alignment horizontal="center" vertical="center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 wrapText="1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4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35" name="JABATAN" tableColumnId="33"/>
      <queryTableField id="36" name="BESARAN_TPP" tableColumnId="3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1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30" totalsRowShown="0" headerRowDxfId="72" dataDxfId="70" headerRowBorderDxfId="71" tableBorderDxfId="69" totalsRowBorderDxfId="68" headerRowCellStyle="Normal 2">
  <autoFilter ref="A1:AI30" xr:uid="{660DE927-A23F-407B-8C78-16E86E3C0D46}"/>
  <tableColumns count="35">
    <tableColumn id="1" xr3:uid="{DBB5E4B7-54E9-48A1-AEFD-1029699C2D6C}" name="NIP Pegawai" dataDxfId="67" dataCellStyle="Normal 2"/>
    <tableColumn id="2" xr3:uid="{3CAEA4FA-D0BE-4DDF-96FC-0E2EB5AF3937}" name="Nama Pegawai" dataDxfId="66" dataCellStyle="Normal 23"/>
    <tableColumn id="3" xr3:uid="{A0CBDE30-F89E-40E3-8FBE-AA1C7F816282}" name="NIK Pegawai" dataDxfId="65" dataCellStyle="Normal 2"/>
    <tableColumn id="4" xr3:uid="{C0CCF364-75E2-4A28-B180-3EEB639B0E5E}" name="NPWP Pegawai" dataDxfId="64" dataCellStyle="Normal 23"/>
    <tableColumn id="5" xr3:uid="{B7AF6DA4-9DCB-4604-93D6-2AED6FE13720}" name="Tanggal Lahir Pegawai" dataDxfId="63" dataCellStyle="Normal 23"/>
    <tableColumn id="6" xr3:uid="{18A7DCA9-7A05-4E90-9C35-D94440C287CE}" name="Tipe Jabatan" dataDxfId="62" dataCellStyle="Normal 2"/>
    <tableColumn id="7" xr3:uid="{2B679A94-FB25-4464-A936-058E6091C0AF}" name="Nama Jabatan" dataDxfId="61" dataCellStyle="Normal 23"/>
    <tableColumn id="8" xr3:uid="{14F3EE6B-9140-436E-BD39-0D0CEB36AD5C}" name="Eselon" dataDxfId="60" dataCellStyle="Normal 23"/>
    <tableColumn id="9" xr3:uid="{8F536BF6-A2EB-4343-85FB-E4A6C9AB5866}" name="Status ASN" dataDxfId="59" dataCellStyle="Normal 2"/>
    <tableColumn id="10" xr3:uid="{5E4E1648-8AF6-4722-8B37-06142BBC9F24}" name="golongan" dataDxfId="58" dataCellStyle="Normal 23"/>
    <tableColumn id="11" xr3:uid="{E38E6D1F-1D08-453F-9C29-63AE72701C6E}" name="Masa Kerja Golongan" dataDxfId="57" dataCellStyle="Normal 23"/>
    <tableColumn id="12" xr3:uid="{3D61C978-AEE3-4623-B16A-EED9162A6AB5}" name="Column1" dataDxfId="56" dataCellStyle="Normal 2"/>
    <tableColumn id="13" xr3:uid="{DD66F396-B3F7-4296-A8A7-E6B2F186DB01}" name="Alamat" dataDxfId="55" dataCellStyle="Normal 23"/>
    <tableColumn id="14" xr3:uid="{7B9BAA1C-176E-4301-8C04-67D4ABE98FD2}" name="Kode Bank" dataDxfId="54" dataCellStyle="Normal 2"/>
    <tableColumn id="15" xr3:uid="{0A89E6E2-759A-4F27-820B-F6FEE37A3BB2}" name="Nama Bank" dataDxfId="53" dataCellStyle="Normal 2"/>
    <tableColumn id="16" xr3:uid="{87C11C65-1A47-47F8-8BC4-EEA348959EBB}" name="Nomor Rekening Bank Pegawai" dataDxfId="52" dataCellStyle="Normal 23"/>
    <tableColumn id="17" xr3:uid="{CFBC335F-FC46-40D0-9029-6C18126ADED2}" name="BEBAN KERJA (O)" dataDxfId="51" dataCellStyle="Comma 2">
      <calculatedColumnFormula>'rekap nominatif etukin'!C5</calculatedColumnFormula>
    </tableColumn>
    <tableColumn id="18" xr3:uid="{03656CC5-C35D-4FAC-B273-69DC66696822}" name="PRESTASI KERJA (S)" dataDxfId="50" dataCellStyle="Comma 2">
      <calculatedColumnFormula>'rekap nominatif etukin'!D5</calculatedColumnFormula>
    </tableColumn>
    <tableColumn id="19" xr3:uid="{E9F7C0D5-93BF-4770-BA7D-9235C207CE61}" name="KONDISI KERJA (Q)" dataDxfId="49" dataCellStyle="Comma 2">
      <calculatedColumnFormula>'rekap nominatif etukin'!E5</calculatedColumnFormula>
    </tableColumn>
    <tableColumn id="20" xr3:uid="{BE603BE6-972D-45AC-AB3B-58EC475F8F12}" name="TEMPAT BERTUGAS (P)" dataDxfId="48" dataCellStyle="Comma 2">
      <calculatedColumnFormula>'rekap nominatif etukin'!F5</calculatedColumnFormula>
    </tableColumn>
    <tableColumn id="21" xr3:uid="{4EB5F81B-BE30-4379-B0F8-8E8CB7338728}" name="KELANGKAAN PROFESI (R)" dataDxfId="47" dataCellStyle="Comma 2">
      <calculatedColumnFormula>'rekap nominatif etukin'!G5</calculatedColumnFormula>
    </tableColumn>
    <tableColumn id="22" xr3:uid="{A97034CA-87F6-48C1-A7BF-AD06540513BE}" name="Tunjangan PPh" dataDxfId="46" dataCellStyle="Comma [0] 2"/>
    <tableColumn id="23" xr3:uid="{5AF1D5B8-6B8B-41EE-9C3C-CE0BDEF781AB}" name="Iuran Jaminan Kesehatan" dataDxfId="45" dataCellStyle="Comma [0] 2"/>
    <tableColumn id="24" xr3:uid="{F9464064-D550-4015-88C9-735267A9B6AD}" name="Iuran Jaminan Kecelakaan Kerja" dataDxfId="44" dataCellStyle="Comma [0] 2"/>
    <tableColumn id="25" xr3:uid="{17DF246B-C73C-4BE9-BC87-26A7B2C02914}" name="Iuran Jaminan Kematian" dataDxfId="43" dataCellStyle="Comma [0] 2"/>
    <tableColumn id="26" xr3:uid="{2C751537-25EE-4396-BC49-06E60463E282}" name="Iuran Simpanan Tapera" dataDxfId="42" dataCellStyle="Comma [0] 2"/>
    <tableColumn id="27" xr3:uid="{8AD72670-BF32-48DF-AF28-6EBE450E333C}" name="Iuran Pensiun" dataDxfId="41" dataCellStyle="Comma [0] 2"/>
    <tableColumn id="28" xr3:uid="{C243941C-FCAA-481E-BE34-E4BB80AAAAE2}" name="Tunjangan Jaminan Hari Tua" dataDxfId="40" dataCellStyle="Normal 2"/>
    <tableColumn id="29" xr3:uid="{131A6030-F996-4734-A3D8-6D1A4CEC92D7}" name="Potongan IWP" dataDxfId="39" dataCellStyle="Comma 2"/>
    <tableColumn id="30" xr3:uid="{72311421-53F9-4DC6-9D2D-AED10D9DAC2F}" name="Potongan PPh 21" dataDxfId="38" dataCellStyle="Normal 2"/>
    <tableColumn id="31" xr3:uid="{D98DA28E-88D1-4D93-AE16-7C54788A2552}" name="Zakat" dataDxfId="37" dataCellStyle="Comma [0] 2"/>
    <tableColumn id="32" xr3:uid="{7A9FEA4C-D5DD-4FAF-8A00-E592488C6DD3}" name="Bulog" dataDxfId="36" dataCellStyle="Comma [0] 2"/>
    <tableColumn id="33" xr3:uid="{8F776B3B-B183-4FCE-B3E6-3068556FA7F1}" name="Jumlah TPP" dataDxfId="35" dataCellStyle="Comma 2">
      <calculatedColumnFormula>Q2+R2</calculatedColumnFormula>
    </tableColumn>
    <tableColumn id="34" xr3:uid="{6C931F56-42BE-48E7-908D-686C74759FFA}" name="Jumlah Potongan" dataDxfId="34" dataCellStyle="Comma 2"/>
    <tableColumn id="35" xr3:uid="{9161A53A-893F-4B3A-B35C-7C20F6DA5932}" name="Jumlah Ditransfer" dataDxfId="33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H43" tableType="queryTable" totalsRowShown="0">
  <autoFilter ref="A2:AH43" xr:uid="{67716BFE-D324-48FB-BEAF-10D8970D6FE3}"/>
  <tableColumns count="34">
    <tableColumn id="1" xr3:uid="{BD593774-DBE9-462F-A3C6-69E0CEA432E3}" uniqueName="1" name="NAMA PEGAWAI" queryTableFieldId="1" dataDxfId="31"/>
    <tableColumn id="2" xr3:uid="{C587DD1D-8705-4E7D-8211-1771D9CE2F38}" uniqueName="2" name="GOL_X" queryTableFieldId="2" dataDxfId="30"/>
    <tableColumn id="3" xr3:uid="{A64B534A-CC0C-4430-8458-1A901FE01618}" uniqueName="3" name="JABATAN/ESELON" queryTableFieldId="3" dataDxfId="29"/>
    <tableColumn id="4" xr3:uid="{82A06F77-FD92-4564-A0E9-7E2A9EB31F00}" uniqueName="4" name="KELAS JABATAN" queryTableFieldId="4" dataDxfId="28"/>
    <tableColumn id="5" xr3:uid="{508C80CF-215C-4BE6-9B44-78847843DE8A}" uniqueName="5" name="BESARAN TPP (RP)" queryTableFieldId="5" dataDxfId="27"/>
    <tableColumn id="6" xr3:uid="{A9BF58C7-CD28-4D94-810D-DD7450D9A482}" uniqueName="6" name="POTONGAN" queryTableFieldId="6" dataDxfId="26"/>
    <tableColumn id="7" xr3:uid="{E7659A9F-D5A3-499C-8EED-04CE4155581F}" uniqueName="7" name="JLH KOTOR" queryTableFieldId="7" dataDxfId="25"/>
    <tableColumn id="8" xr3:uid="{CECCB7B7-5A03-4CCB-B0FC-BE86DDAD655F}" uniqueName="8" name="NIP" queryTableFieldId="8" dataDxfId="24"/>
    <tableColumn id="9" xr3:uid="{924B9411-5F73-465B-832E-B629B2EAEF02}" uniqueName="9" name="TGL_LAHIR" queryTableFieldId="9" dataDxfId="23"/>
    <tableColumn id="10" xr3:uid="{FEE9BF86-5EC7-4D78-B0C0-07A88F955FFF}" uniqueName="10" name="NPWP" queryTableFieldId="10" dataDxfId="22"/>
    <tableColumn id="11" xr3:uid="{42ABBCEB-5461-4734-A879-C00182EED12A}" uniqueName="11" name="NO_REKENING" queryTableFieldId="11" dataDxfId="21"/>
    <tableColumn id="12" xr3:uid="{9F6F8E94-B8F0-4827-B86A-EE739B458DD6}" uniqueName="12" name="UNIT_KERJA" queryTableFieldId="12" dataDxfId="20"/>
    <tableColumn id="13" xr3:uid="{5DFFDD98-E9D8-42AE-BB9F-FC24F82E2C7A}" uniqueName="13" name="GAJI_NET" queryTableFieldId="13" dataDxfId="19"/>
    <tableColumn id="14" xr3:uid="{BEA0E7E6-A8EB-4872-8197-E5B5EF21F721}" uniqueName="14" name="JUMLAH_ANAK" queryTableFieldId="14" dataDxfId="18"/>
    <tableColumn id="33" xr3:uid="{46995E76-B3AF-4A5E-A2A9-62AFC78149A7}" uniqueName="33" name="JABATAN" queryTableFieldId="35"/>
    <tableColumn id="34" xr3:uid="{FCA0E8C9-EE03-40E9-B6FA-95EA9CBB01BD}" uniqueName="34" name="BESARAN_TPP" queryTableFieldId="36"/>
    <tableColumn id="15" xr3:uid="{E87A4625-A848-4A8F-A2DF-B01786AC4E9B}" uniqueName="15" name="BEBAN_KERJA" queryTableFieldId="15" dataDxfId="17"/>
    <tableColumn id="16" xr3:uid="{E41B2A06-AB5C-4E1B-9099-11BF5A0ABFEB}" uniqueName="16" name="TEMPAT_BERTUGAS" queryTableFieldId="16" dataDxfId="16"/>
    <tableColumn id="31" xr3:uid="{D9AA60BD-C8CF-4C4E-8B2E-6748D0B4DF8D}" uniqueName="31" name="KONDISI_KERJA" queryTableFieldId="31" dataDxfId="15"/>
    <tableColumn id="17" xr3:uid="{AD9E7808-EB00-4A6A-BA6D-8AB4D748D96C}" uniqueName="17" name="PRESTASI_KERJA" queryTableFieldId="17" dataDxfId="14"/>
    <tableColumn id="32" xr3:uid="{3CD6730F-6EB0-41C1-B4F6-5799EF1327FD}" uniqueName="32" name="KELANGKAAN_PROFESI" queryTableFieldId="32" dataDxfId="13"/>
    <tableColumn id="18" xr3:uid="{DA616222-5705-44B1-9386-71F70187C6AD}" uniqueName="18" name="NIK PEGAWAI" queryTableFieldId="18" dataDxfId="12"/>
    <tableColumn id="19" xr3:uid="{4039FB30-EE7E-47BE-9A5D-12EB8EA4FCDF}" uniqueName="19" name="TIPE JABATAN" queryTableFieldId="19" dataDxfId="11"/>
    <tableColumn id="20" xr3:uid="{71EBC85A-3B7A-4FA2-9447-53FDDC3AF0FE}" uniqueName="20" name="STATUS ASN" queryTableFieldId="20" dataDxfId="10"/>
    <tableColumn id="21" xr3:uid="{D386B830-9726-474A-BC27-39DEA44F2EFF}" uniqueName="21" name="GOLONGAN" queryTableFieldId="21" dataDxfId="9"/>
    <tableColumn id="22" xr3:uid="{1248B4AC-D290-4E55-955E-C2004CCF1995}" uniqueName="22" name="MASA KERJA GOLONGAN" queryTableFieldId="22" dataDxfId="8"/>
    <tableColumn id="23" xr3:uid="{A7E133BC-686D-4321-BBF1-0A6784586F15}" uniqueName="23" name="ALAMAT" queryTableFieldId="23" dataDxfId="7"/>
    <tableColumn id="24" xr3:uid="{C78DCB04-6C63-4614-9EC6-0422FB589EB5}" uniqueName="24" name="STATUS PERNIKAHAN" queryTableFieldId="24" dataDxfId="6"/>
    <tableColumn id="25" xr3:uid="{C901433F-768F-411D-B85D-26D76F250BF6}" uniqueName="25" name="JUMLAH ISTRI_SUAMI" queryTableFieldId="25" dataDxfId="5"/>
    <tableColumn id="26" xr3:uid="{6494843B-1DE1-4B69-819E-E902C8841452}" uniqueName="26" name="JUMLAH ANAK" queryTableFieldId="26" dataDxfId="4"/>
    <tableColumn id="27" xr3:uid="{45407801-EE7E-4965-99F1-FBF9A35CC16D}" uniqueName="27" name="NAMA BANK" queryTableFieldId="27" dataDxfId="3"/>
    <tableColumn id="28" xr3:uid="{BE3FD433-F330-4416-A511-BDCEDD18EF09}" uniqueName="28" name="NOMOR REKENING BANK PEGAWAI" queryTableFieldId="28" dataDxfId="2"/>
    <tableColumn id="29" xr3:uid="{0E192986-1F3F-426A-AA66-5D65F2BDDA48}" uniqueName="29" name="UNIT KERJA" queryTableFieldId="29" dataDxfId="1"/>
    <tableColumn id="30" xr3:uid="{B81CD542-90BA-4BEF-A222-AD75559E27CE}" uniqueName="30" name="JANUARI" queryTableFieldId="3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10"/>
  <sheetViews>
    <sheetView showGridLines="0" topLeftCell="A14" zoomScale="55" zoomScaleNormal="55" zoomScaleSheetLayoutView="55" workbookViewId="0">
      <selection activeCell="I9" sqref="I9:I36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43" t="s">
        <v>1</v>
      </c>
      <c r="B2" s="343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43" t="s">
        <v>2</v>
      </c>
      <c r="B3" s="343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43" t="s">
        <v>3</v>
      </c>
      <c r="B4" s="343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44" t="s">
        <v>4</v>
      </c>
      <c r="B6" s="346" t="s">
        <v>5</v>
      </c>
      <c r="C6" s="346" t="s">
        <v>6</v>
      </c>
      <c r="D6" s="347" t="s">
        <v>7</v>
      </c>
      <c r="E6" s="347" t="s">
        <v>8</v>
      </c>
      <c r="F6" s="346" t="s">
        <v>9</v>
      </c>
      <c r="G6" s="344" t="s">
        <v>10</v>
      </c>
      <c r="H6" s="353" t="s">
        <v>11</v>
      </c>
      <c r="I6" s="348" t="s">
        <v>12</v>
      </c>
      <c r="J6" s="355" t="s">
        <v>13</v>
      </c>
      <c r="K6" s="348" t="s">
        <v>14</v>
      </c>
      <c r="L6" s="350" t="s">
        <v>15</v>
      </c>
      <c r="M6" s="351"/>
      <c r="N6" s="348" t="s">
        <v>16</v>
      </c>
      <c r="O6" s="348" t="s">
        <v>17</v>
      </c>
      <c r="P6" s="348" t="s">
        <v>18</v>
      </c>
      <c r="Q6" s="346" t="s">
        <v>19</v>
      </c>
      <c r="R6" s="348" t="s">
        <v>20</v>
      </c>
      <c r="S6" s="357" t="s">
        <v>21</v>
      </c>
    </row>
    <row r="7" spans="1:19" ht="14.25" customHeight="1" x14ac:dyDescent="0.35">
      <c r="A7" s="345"/>
      <c r="B7" s="345"/>
      <c r="C7" s="345"/>
      <c r="D7" s="352"/>
      <c r="E7" s="345"/>
      <c r="F7" s="345"/>
      <c r="G7" s="345"/>
      <c r="H7" s="354"/>
      <c r="I7" s="349"/>
      <c r="J7" s="356"/>
      <c r="K7" s="349"/>
      <c r="L7" s="147">
        <v>0.04</v>
      </c>
      <c r="M7" s="148">
        <v>0.01</v>
      </c>
      <c r="N7" s="345"/>
      <c r="O7" s="345"/>
      <c r="P7" s="345"/>
      <c r="Q7" s="345"/>
      <c r="R7" s="345"/>
      <c r="S7" s="358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18), "NIP tidak ditemukan")</f>
        <v>0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167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18), "NIP tidak ditemukan")</f>
        <v>0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92345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1497595</v>
      </c>
      <c r="O10" s="154"/>
      <c r="P10" s="154">
        <f t="shared" si="3"/>
        <v>1497595</v>
      </c>
      <c r="Q10" s="154">
        <v>0</v>
      </c>
      <c r="R10" s="158">
        <f t="shared" si="4"/>
        <v>1497595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173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18), "NIP tidak ditemukan")</f>
        <v>0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5621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1584319</v>
      </c>
      <c r="O11" s="154"/>
      <c r="P11" s="154">
        <f t="shared" si="3"/>
        <v>1584319</v>
      </c>
      <c r="Q11" s="154">
        <v>0</v>
      </c>
      <c r="R11" s="158">
        <f t="shared" si="4"/>
        <v>1584319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166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18), "NIP tidak ditemukan")</f>
        <v>0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110568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1499172</v>
      </c>
      <c r="O12" s="154"/>
      <c r="P12" s="154">
        <f t="shared" si="3"/>
        <v>1499172</v>
      </c>
      <c r="Q12" s="154">
        <v>0</v>
      </c>
      <c r="R12" s="158">
        <f t="shared" si="4"/>
        <v>1499172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157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18), "NIP tidak ditemukan")</f>
        <v>0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171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18), "NIP tidak ditemukan")</f>
        <v>0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164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18), "NIP tidak ditemukan")</f>
        <v>0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194331</v>
      </c>
      <c r="J15" s="157">
        <v>0</v>
      </c>
      <c r="K15" s="154">
        <f t="shared" ref="K15:K36" si="6">H15</f>
        <v>1842000</v>
      </c>
      <c r="L15" s="154">
        <f t="shared" ref="L15:L36" si="7">4*M15</f>
        <v>73680</v>
      </c>
      <c r="M15" s="154">
        <f t="shared" ref="M15:M36" si="8">1%*K15</f>
        <v>18420</v>
      </c>
      <c r="N15" s="154">
        <f t="shared" ref="N15:N36" si="9">H15-I15-M15</f>
        <v>1629249</v>
      </c>
      <c r="O15" s="154"/>
      <c r="P15" s="154">
        <f t="shared" ref="P15:P36" si="10">N15-O15</f>
        <v>1629249</v>
      </c>
      <c r="Q15" s="154">
        <v>0</v>
      </c>
      <c r="R15" s="158">
        <f t="shared" ref="R15:R36" si="11">P15-Q15</f>
        <v>1629249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169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18), "NIP tidak ditemukan")</f>
        <v>0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58536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1551204</v>
      </c>
      <c r="O16" s="154"/>
      <c r="P16" s="154">
        <f t="shared" si="10"/>
        <v>1551204</v>
      </c>
      <c r="Q16" s="154">
        <v>0</v>
      </c>
      <c r="R16" s="158">
        <f t="shared" si="11"/>
        <v>1551204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160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18), "NIP tidak ditemukan")</f>
        <v>0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174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18), "NIP tidak ditemukan")</f>
        <v>0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159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18), "NIP tidak ditemukan")</f>
        <v>0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57816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1532124</v>
      </c>
      <c r="O19" s="154"/>
      <c r="P19" s="154">
        <f t="shared" si="10"/>
        <v>1532124</v>
      </c>
      <c r="Q19" s="154">
        <v>0</v>
      </c>
      <c r="R19" s="158">
        <f t="shared" si="11"/>
        <v>1532124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158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18), "NIP tidak ditemukan")</f>
        <v>0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6447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1817133</v>
      </c>
      <c r="O20" s="154"/>
      <c r="P20" s="154">
        <f t="shared" si="10"/>
        <v>1817133</v>
      </c>
      <c r="Q20" s="154">
        <v>0</v>
      </c>
      <c r="R20" s="158">
        <f t="shared" si="11"/>
        <v>1817133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163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18), "NIP tidak ditemukan")</f>
        <v>0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99186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1510554</v>
      </c>
      <c r="O21" s="154"/>
      <c r="P21" s="154">
        <f t="shared" si="10"/>
        <v>1510554</v>
      </c>
      <c r="Q21" s="154">
        <v>0</v>
      </c>
      <c r="R21" s="158">
        <f t="shared" si="11"/>
        <v>1510554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172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18), "NIP tidak ditemukan")</f>
        <v>0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162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18), "NIP tidak ditemukan")</f>
        <v>0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34959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1574781</v>
      </c>
      <c r="O23" s="154"/>
      <c r="P23" s="154">
        <f t="shared" si="10"/>
        <v>1574781</v>
      </c>
      <c r="Q23" s="154">
        <v>0</v>
      </c>
      <c r="R23" s="158">
        <f t="shared" si="11"/>
        <v>1574781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18), "NIP tidak ditemukan")</f>
        <v>0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110</v>
      </c>
      <c r="B25" s="152" t="s">
        <v>156</v>
      </c>
      <c r="C25" s="152" t="str">
        <f>IFERROR(INDEX(rekap_tpp[], MATCH(MID(B25, FIND("NIP.", B25) + 4, LEN(B25)), INDEX(rekap_tpp[], 0, 8), 0), 8), "NIP tidak ditemukan")</f>
        <v>NIP tidak ditemukan</v>
      </c>
      <c r="D25" s="152" t="str">
        <f>IFERROR(INDEX(rekap_tpp[], MATCH(MID(B25, FIND("NIP.", B25) + 4, LEN(B25)), INDEX(rekap_tpp[], 0, 8), 0), 18), "NIP tidak ditemukan")</f>
        <v>NIP tidak ditemukan</v>
      </c>
      <c r="E25" s="152" t="str">
        <f>IFERROR(INDEX(rekap_tpp[], MATCH(MID(B25, FIND("NIP.", B25) + 4, LEN(B25)), INDEX(rekap_tpp[], 0, 8), 0), 3), "NIP tidak ditemukan")</f>
        <v>NIP tidak ditemukan</v>
      </c>
      <c r="F25" s="153" t="str">
        <f>IFERROR(INDEX(rekap_tpp[], MATCH(MID(B25, FIND("NIP.", B25) + 4, LEN(B25)), INDEX(rekap_tpp[], 0, 8), 0), 2), "NIP tidak ditemukan")</f>
        <v>NIP tidak ditemukan</v>
      </c>
      <c r="G25" s="154" t="str">
        <f>IFERROR(INDEX(rekap_tpp[], MATCH(MID(B25, FIND("NIP.", B25) + 4, LEN(B25)), INDEX(rekap_tpp[], 0, 8), 0), 13), "NIP tidak ditemukan")</f>
        <v>NIP tidak ditemukan</v>
      </c>
      <c r="H25" s="155" t="str">
        <f>IFERROR(INDEX(rekap_tpp[], MATCH(MID(B25, FIND("NIP.", B25) + 4, LEN(B25)), INDEX(rekap_tpp[], 0, 8), 0), 5), "NIP tidak ditemukan")</f>
        <v>NIP tidak ditemukan</v>
      </c>
      <c r="I25" s="156" t="str">
        <f>IFERROR(INDEX(rekap_tpp[], MATCH(MID(B25, FIND("NIP.", B25) + 4, LEN(B25)), INDEX(rekap_tpp[], 0, 8), 0), 6), "NIP tidak ditemukan")</f>
        <v>NIP tidak ditemukan</v>
      </c>
      <c r="J25" s="157">
        <v>0</v>
      </c>
      <c r="K25" s="154" t="str">
        <f t="shared" si="6"/>
        <v>NIP tidak ditemukan</v>
      </c>
      <c r="L25" s="154" t="e">
        <f t="shared" si="7"/>
        <v>#VALUE!</v>
      </c>
      <c r="M25" s="154" t="e">
        <f t="shared" si="8"/>
        <v>#VALUE!</v>
      </c>
      <c r="N25" s="154" t="e">
        <f t="shared" si="9"/>
        <v>#VALUE!</v>
      </c>
      <c r="O25" s="154"/>
      <c r="P25" s="154" t="e">
        <f t="shared" si="10"/>
        <v>#VALUE!</v>
      </c>
      <c r="Q25" s="154">
        <v>0</v>
      </c>
      <c r="R25" s="158" t="e">
        <f t="shared" si="11"/>
        <v>#VALUE!</v>
      </c>
      <c r="S25" s="159" t="s">
        <v>112</v>
      </c>
    </row>
    <row r="26" spans="1:19" s="160" customFormat="1" ht="26" x14ac:dyDescent="0.35">
      <c r="A26" s="218" t="s">
        <v>47</v>
      </c>
      <c r="B26" s="152" t="s">
        <v>170</v>
      </c>
      <c r="C26" s="152" t="str">
        <f>IFERROR(INDEX(rekap_tpp[], MATCH(MID(B26, FIND("NIP.", B26) + 4, LEN(B26)), INDEX(rekap_tpp[], 0, 8), 0), 8), "NIP tidak ditemukan")</f>
        <v>198803192014021001</v>
      </c>
      <c r="D26" s="152">
        <f>IFERROR(INDEX(rekap_tpp[], MATCH(MID(B26, FIND("NIP.", B26) + 4, LEN(B26)), INDEX(rekap_tpp[], 0, 8), 0), 18), "NIP tidak ditemukan")</f>
        <v>0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4506300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48</v>
      </c>
      <c r="B27" s="152" t="s">
        <v>165</v>
      </c>
      <c r="C27" s="152" t="str">
        <f>IFERROR(INDEX(rekap_tpp[], MATCH(MID(B27, FIND("NIP.", B27) + 4, LEN(B27)), INDEX(rekap_tpp[], 0, 8), 0), 8), "NIP tidak ditemukan")</f>
        <v>198502272009032001</v>
      </c>
      <c r="D27" s="152">
        <f>IFERROR(INDEX(rekap_tpp[], MATCH(MID(B27, FIND("NIP.", B27) + 4, LEN(B27)), INDEX(rekap_tpp[], 0, 8), 0), 18), "NIP tidak ditemukan")</f>
        <v>0</v>
      </c>
      <c r="E27" s="152" t="str">
        <f>IFERROR(INDEX(rekap_tpp[], MATCH(MID(B27, FIND("NIP.", B27) + 4, LEN(B27)), INDEX(rekap_tpp[], 0, 8), 0), 3), "NIP tidak ditemukan")</f>
        <v>Guru Muda</v>
      </c>
      <c r="F27" s="153" t="str">
        <f>IFERROR(INDEX(rekap_tpp[], MATCH(MID(B27, FIND("NIP.", B27) + 4, LEN(B27)), INDEX(rekap_tpp[], 0, 8), 0), 2), "NIP tidak ditemukan")</f>
        <v>III/d</v>
      </c>
      <c r="G27" s="154">
        <f>IFERROR(INDEX(rekap_tpp[], MATCH(MID(B27, FIND("NIP.", B27) + 4, LEN(B27)), INDEX(rekap_tpp[], 0, 8), 0), 13), "NIP tidak ditemukan")</f>
        <v>4935500</v>
      </c>
      <c r="H27" s="155">
        <f>IFERROR(INDEX(rekap_tpp[], MATCH(MID(B27, FIND("NIP.", B27) + 4, LEN(B27)), INDEX(rekap_tpp[], 0, 8), 0), 5), "NIP tidak ditemukan")</f>
        <v>1626000</v>
      </c>
      <c r="I27" s="156">
        <f>IFERROR(INDEX(rekap_tpp[], MATCH(MID(B27, FIND("NIP.", B27) + 4, LEN(B27)), INDEX(rekap_tpp[], 0, 8), 0), 6), "NIP tidak ditemukan")</f>
        <v>204876</v>
      </c>
      <c r="J27" s="161"/>
      <c r="K27" s="154">
        <f t="shared" si="6"/>
        <v>1626000</v>
      </c>
      <c r="L27" s="154">
        <f t="shared" si="7"/>
        <v>65040</v>
      </c>
      <c r="M27" s="154">
        <f t="shared" si="8"/>
        <v>16260</v>
      </c>
      <c r="N27" s="154">
        <f t="shared" si="9"/>
        <v>1404864</v>
      </c>
      <c r="O27" s="154"/>
      <c r="P27" s="154">
        <f t="shared" si="10"/>
        <v>1404864</v>
      </c>
      <c r="Q27" s="154">
        <v>0</v>
      </c>
      <c r="R27" s="158">
        <f t="shared" si="11"/>
        <v>1404864</v>
      </c>
      <c r="S27" s="159" t="s">
        <v>112</v>
      </c>
    </row>
    <row r="28" spans="1:19" s="160" customFormat="1" ht="26" x14ac:dyDescent="0.35">
      <c r="A28" s="218" t="s">
        <v>49</v>
      </c>
      <c r="B28" s="152" t="s">
        <v>154</v>
      </c>
      <c r="C28" s="152" t="str">
        <f>IFERROR(INDEX(rekap_tpp[], MATCH(MID(B28, FIND("NIP.", B28) + 4, LEN(B28)), INDEX(rekap_tpp[], 0, 8), 0), 8), "NIP tidak ditemukan")</f>
        <v>197907062006042016</v>
      </c>
      <c r="D28" s="152">
        <f>IFERROR(INDEX(rekap_tpp[], MATCH(MID(B28, FIND("NIP.", B28) + 4, LEN(B28)), INDEX(rekap_tpp[], 0, 8), 0), 18), "NIP tidak ditemukan")</f>
        <v>0</v>
      </c>
      <c r="E28" s="152" t="str">
        <f>IFERROR(INDEX(rekap_tpp[], MATCH(MID(B28, FIND("NIP.", B28) + 4, LEN(B28)), INDEX(rekap_tpp[], 0, 8), 0), 3), "NIP tidak ditemukan")</f>
        <v>Penelaah Teknis Kebijakan</v>
      </c>
      <c r="F28" s="153" t="str">
        <f>IFERROR(INDEX(rekap_tpp[], MATCH(MID(B28, FIND("NIP.", B28) + 4, LEN(B28)), INDEX(rekap_tpp[], 0, 8), 0), 2), "NIP tidak ditemukan")</f>
        <v>III/b</v>
      </c>
      <c r="G28" s="154">
        <f>IFERROR(INDEX(rekap_tpp[], MATCH(MID(B28, FIND("NIP.", B28) + 4, LEN(B28)), INDEX(rekap_tpp[], 0, 8), 0), 13), "NIP tidak ditemukan")</f>
        <v>4352600</v>
      </c>
      <c r="H28" s="155">
        <f>IFERROR(INDEX(rekap_tpp[], MATCH(MID(B28, FIND("NIP.", B28) + 4, LEN(B28)), INDEX(rekap_tpp[], 0, 8), 0), 5), "NIP tidak ditemukan")</f>
        <v>2667000</v>
      </c>
      <c r="I28" s="156">
        <f>IFERROR(INDEX(rekap_tpp[], MATCH(MID(B28, FIND("NIP.", B28) + 4, LEN(B28)), INDEX(rekap_tpp[], 0, 8), 0), 6), "NIP tidak ditemukan")</f>
        <v>216027</v>
      </c>
      <c r="J28" s="161"/>
      <c r="K28" s="154">
        <f t="shared" si="6"/>
        <v>2667000</v>
      </c>
      <c r="L28" s="154">
        <f t="shared" si="7"/>
        <v>106680</v>
      </c>
      <c r="M28" s="154">
        <f t="shared" si="8"/>
        <v>26670</v>
      </c>
      <c r="N28" s="154">
        <f t="shared" si="9"/>
        <v>2424303</v>
      </c>
      <c r="O28" s="154"/>
      <c r="P28" s="154">
        <f t="shared" si="10"/>
        <v>2424303</v>
      </c>
      <c r="Q28" s="154">
        <v>0</v>
      </c>
      <c r="R28" s="158">
        <f t="shared" si="11"/>
        <v>2424303</v>
      </c>
      <c r="S28" s="159" t="s">
        <v>112</v>
      </c>
    </row>
    <row r="29" spans="1:19" s="160" customFormat="1" ht="26" x14ac:dyDescent="0.35">
      <c r="A29" s="218" t="s">
        <v>50</v>
      </c>
      <c r="B29" s="152" t="s">
        <v>168</v>
      </c>
      <c r="C29" s="152" t="str">
        <f>IFERROR(INDEX(rekap_tpp[], MATCH(MID(B29, FIND("NIP.", B29) + 4, LEN(B29)), INDEX(rekap_tpp[], 0, 8), 0), 8), "NIP tidak ditemukan")</f>
        <v>198611132010012005</v>
      </c>
      <c r="D29" s="152">
        <f>IFERROR(INDEX(rekap_tpp[], MATCH(MID(B29, FIND("NIP.", B29) + 4, LEN(B29)), INDEX(rekap_tpp[], 0, 8), 0), 18), "NIP tidak ditemukan")</f>
        <v>0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93495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1516245</v>
      </c>
      <c r="O29" s="154"/>
      <c r="P29" s="154">
        <f t="shared" si="10"/>
        <v>1516245</v>
      </c>
      <c r="Q29" s="154">
        <v>0</v>
      </c>
      <c r="R29" s="158">
        <f t="shared" si="11"/>
        <v>1516245</v>
      </c>
      <c r="S29" s="159" t="s">
        <v>112</v>
      </c>
    </row>
    <row r="30" spans="1:19" s="160" customFormat="1" ht="26" x14ac:dyDescent="0.35">
      <c r="A30" s="218" t="s">
        <v>51</v>
      </c>
      <c r="B30" s="152" t="s">
        <v>153</v>
      </c>
      <c r="C30" s="152" t="str">
        <f>IFERROR(INDEX(rekap_tpp[], MATCH(MID(B30, FIND("NIP.", B30) + 4, LEN(B30)), INDEX(rekap_tpp[], 0, 8), 0), 8), "NIP tidak ditemukan")</f>
        <v>197902192010012005</v>
      </c>
      <c r="D30" s="152">
        <f>IFERROR(INDEX(rekap_tpp[], MATCH(MID(B30, FIND("NIP.", B30) + 4, LEN(B30)), INDEX(rekap_tpp[], 0, 8), 0), 18), "NIP tidak ditemukan")</f>
        <v>0</v>
      </c>
      <c r="E30" s="152" t="str">
        <f>IFERROR(INDEX(rekap_tpp[], MATCH(MID(B30, FIND("NIP.", B30) + 4, LEN(B30)), INDEX(rekap_tpp[], 0, 8), 0), 3), "NIP tidak ditemukan")</f>
        <v>Guru Muda</v>
      </c>
      <c r="F30" s="153" t="str">
        <f>IFERROR(INDEX(rekap_tpp[], MATCH(MID(B30, FIND("NIP.", B30) + 4, LEN(B30)), INDEX(rekap_tpp[], 0, 8), 0), 2), "NIP tidak ditemukan")</f>
        <v>III/d</v>
      </c>
      <c r="G30" s="154">
        <f>IFERROR(INDEX(rekap_tpp[], MATCH(MID(B30, FIND("NIP.", B30) + 4, LEN(B30)), INDEX(rekap_tpp[], 0, 8), 0), 13), "NIP tidak ditemukan")</f>
        <v>4935500</v>
      </c>
      <c r="H30" s="155">
        <f>IFERROR(INDEX(rekap_tpp[], MATCH(MID(B30, FIND("NIP.", B30) + 4, LEN(B30)), INDEX(rekap_tpp[], 0, 8), 0), 5), "NIP tidak ditemukan")</f>
        <v>1626000</v>
      </c>
      <c r="I30" s="156">
        <f>IFERROR(INDEX(rekap_tpp[], MATCH(MID(B30, FIND("NIP.", B30) + 4, LEN(B30)), INDEX(rekap_tpp[], 0, 8), 0), 6), "NIP tidak ditemukan")</f>
        <v>0</v>
      </c>
      <c r="J30" s="161"/>
      <c r="K30" s="154">
        <f t="shared" si="6"/>
        <v>1626000</v>
      </c>
      <c r="L30" s="154">
        <f t="shared" si="7"/>
        <v>65040</v>
      </c>
      <c r="M30" s="154">
        <f t="shared" si="8"/>
        <v>16260</v>
      </c>
      <c r="N30" s="154">
        <f t="shared" si="9"/>
        <v>1609740</v>
      </c>
      <c r="O30" s="154"/>
      <c r="P30" s="154">
        <f t="shared" si="10"/>
        <v>1609740</v>
      </c>
      <c r="Q30" s="154">
        <v>0</v>
      </c>
      <c r="R30" s="158">
        <f t="shared" si="11"/>
        <v>1609740</v>
      </c>
      <c r="S30" s="159" t="s">
        <v>112</v>
      </c>
    </row>
    <row r="31" spans="1:19" s="160" customFormat="1" ht="26" x14ac:dyDescent="0.35">
      <c r="A31" s="218" t="s">
        <v>52</v>
      </c>
      <c r="B31" s="152" t="s">
        <v>151</v>
      </c>
      <c r="C31" s="152" t="str">
        <f>IFERROR(INDEX(rekap_tpp[], MATCH(MID(B31, FIND("NIP.", B31) + 4, LEN(B31)), INDEX(rekap_tpp[], 0, 8), 0), 8), "NIP tidak ditemukan")</f>
        <v>197608312006041006</v>
      </c>
      <c r="D31" s="152">
        <f>IFERROR(INDEX(rekap_tpp[], MATCH(MID(B31, FIND("NIP.", B31) + 4, LEN(B31)), INDEX(rekap_tpp[], 0, 8), 0), 18), "NIP tidak ditemukan")</f>
        <v>0</v>
      </c>
      <c r="E31" s="152" t="str">
        <f>IFERROR(INDEX(rekap_tpp[], MATCH(MID(B31, FIND("NIP.", B31) + 4, LEN(B31)), INDEX(rekap_tpp[], 0, 8), 0), 3), "NIP tidak ditemukan")</f>
        <v>Guru Ahli Madya</v>
      </c>
      <c r="F31" s="153" t="str">
        <f>IFERROR(INDEX(rekap_tpp[], MATCH(MID(B31, FIND("NIP.", B31) + 4, LEN(B31)), INDEX(rekap_tpp[], 0, 8), 0), 2), "NIP tidak ditemukan")</f>
        <v>IV/a</v>
      </c>
      <c r="G31" s="154">
        <f>IFERROR(INDEX(rekap_tpp[], MATCH(MID(B31, FIND("NIP.", B31) + 4, LEN(B31)), INDEX(rekap_tpp[], 0, 8), 0), 13), "NIP tidak ditemukan")</f>
        <v>5568200</v>
      </c>
      <c r="H31" s="155">
        <f>IFERROR(INDEX(rekap_tpp[], MATCH(MID(B31, FIND("NIP.", B31) + 4, LEN(B31)), INDEX(rekap_tpp[], 0, 8), 0), 5), "NIP tidak ditemukan")</f>
        <v>1842000</v>
      </c>
      <c r="I31" s="156">
        <f>IFERROR(INDEX(rekap_tpp[], MATCH(MID(B31, FIND("NIP.", B31) + 4, LEN(B31)), INDEX(rekap_tpp[], 0, 8), 0), 6), "NIP tidak ditemukan")</f>
        <v>39603</v>
      </c>
      <c r="J31" s="161"/>
      <c r="K31" s="154">
        <f t="shared" si="6"/>
        <v>1842000</v>
      </c>
      <c r="L31" s="154">
        <f t="shared" si="7"/>
        <v>73680</v>
      </c>
      <c r="M31" s="154">
        <f t="shared" si="8"/>
        <v>18420</v>
      </c>
      <c r="N31" s="154">
        <f t="shared" si="9"/>
        <v>1783977</v>
      </c>
      <c r="O31" s="154"/>
      <c r="P31" s="154">
        <f t="shared" si="10"/>
        <v>1783977</v>
      </c>
      <c r="Q31" s="154">
        <v>0</v>
      </c>
      <c r="R31" s="158">
        <f t="shared" si="11"/>
        <v>1783977</v>
      </c>
      <c r="S31" s="159" t="s">
        <v>112</v>
      </c>
    </row>
    <row r="32" spans="1:19" s="160" customFormat="1" ht="26" x14ac:dyDescent="0.35">
      <c r="A32" s="218" t="s">
        <v>111</v>
      </c>
      <c r="B32" s="152" t="s">
        <v>161</v>
      </c>
      <c r="C32" s="152" t="str">
        <f>IFERROR(INDEX(rekap_tpp[], MATCH(MID(B32, FIND("NIP.", B32) + 4, LEN(B32)), INDEX(rekap_tpp[], 0, 8), 0), 8), "NIP tidak ditemukan")</f>
        <v>198112102009032002</v>
      </c>
      <c r="D32" s="152">
        <f>IFERROR(INDEX(rekap_tpp[], MATCH(MID(B32, FIND("NIP.", B32) + 4, LEN(B32)), INDEX(rekap_tpp[], 0, 8), 0), 18), "NIP tidak ditemukan")</f>
        <v>0</v>
      </c>
      <c r="E32" s="152" t="str">
        <f>IFERROR(INDEX(rekap_tpp[], MATCH(MID(B32, FIND("NIP.", B32) + 4, LEN(B32)), INDEX(rekap_tpp[], 0, 8), 0), 3), "NIP tidak ditemukan")</f>
        <v>Guru Muda</v>
      </c>
      <c r="F32" s="153" t="str">
        <f>IFERROR(INDEX(rekap_tpp[], MATCH(MID(B32, FIND("NIP.", B32) + 4, LEN(B32)), INDEX(rekap_tpp[], 0, 8), 0), 2), "NIP tidak ditemukan")</f>
        <v>III/d</v>
      </c>
      <c r="G32" s="154">
        <f>IFERROR(INDEX(rekap_tpp[], MATCH(MID(B32, FIND("NIP.", B32) + 4, LEN(B32)), INDEX(rekap_tpp[], 0, 8), 0), 13), "NIP tidak ditemukan")</f>
        <v>4935500</v>
      </c>
      <c r="H32" s="155">
        <f>IFERROR(INDEX(rekap_tpp[], MATCH(MID(B32, FIND("NIP.", B32) + 4, LEN(B32)), INDEX(rekap_tpp[], 0, 8), 0), 5), "NIP tidak ditemukan")</f>
        <v>1626000</v>
      </c>
      <c r="I32" s="156">
        <f>IFERROR(INDEX(rekap_tpp[], MATCH(MID(B32, FIND("NIP.", B32) + 4, LEN(B32)), INDEX(rekap_tpp[], 0, 8), 0), 6), "NIP tidak ditemukan")</f>
        <v>11382</v>
      </c>
      <c r="J32" s="161"/>
      <c r="K32" s="154">
        <f t="shared" si="6"/>
        <v>1626000</v>
      </c>
      <c r="L32" s="154">
        <f t="shared" si="7"/>
        <v>65040</v>
      </c>
      <c r="M32" s="154">
        <f t="shared" si="8"/>
        <v>16260</v>
      </c>
      <c r="N32" s="154">
        <f t="shared" si="9"/>
        <v>1598358</v>
      </c>
      <c r="O32" s="154"/>
      <c r="P32" s="154">
        <f t="shared" si="10"/>
        <v>1598358</v>
      </c>
      <c r="Q32" s="154">
        <v>0</v>
      </c>
      <c r="R32" s="158">
        <f t="shared" si="11"/>
        <v>1598358</v>
      </c>
      <c r="S32" s="159" t="s">
        <v>112</v>
      </c>
    </row>
    <row r="33" spans="1:19" s="160" customFormat="1" ht="26" x14ac:dyDescent="0.35">
      <c r="A33" s="218" t="s">
        <v>53</v>
      </c>
      <c r="B33" s="152" t="s">
        <v>152</v>
      </c>
      <c r="C33" s="152" t="str">
        <f>IFERROR(INDEX(rekap_tpp[], MATCH(MID(B33, FIND("NIP.", B33) + 4, LEN(B33)), INDEX(rekap_tpp[], 0, 8), 0), 8), "NIP tidak ditemukan")</f>
        <v>197708262006041005</v>
      </c>
      <c r="D33" s="152">
        <f>IFERROR(INDEX(rekap_tpp[], MATCH(MID(B33, FIND("NIP.", B33) + 4, LEN(B33)), INDEX(rekap_tpp[], 0, 8), 0), 18), "NIP tidak ditemukan")</f>
        <v>0</v>
      </c>
      <c r="E33" s="152" t="str">
        <f>IFERROR(INDEX(rekap_tpp[], MATCH(MID(B33, FIND("NIP.", B33) + 4, LEN(B33)), INDEX(rekap_tpp[], 0, 8), 0), 3), "NIP tidak ditemukan")</f>
        <v>Kepala Sekolah SMKN 1 Koba Bangka Tengah</v>
      </c>
      <c r="F33" s="153" t="str">
        <f>IFERROR(INDEX(rekap_tpp[], MATCH(MID(B33, FIND("NIP.", B33) + 4, LEN(B33)), INDEX(rekap_tpp[], 0, 8), 0), 2), "NIP tidak ditemukan")</f>
        <v>IV/b</v>
      </c>
      <c r="G33" s="154">
        <f>IFERROR(INDEX(rekap_tpp[], MATCH(MID(B33, FIND("NIP.", B33) + 4, LEN(B33)), INDEX(rekap_tpp[], 0, 8), 0), 13), "NIP tidak ditemukan")</f>
        <v>5967000</v>
      </c>
      <c r="H33" s="155">
        <f>IFERROR(INDEX(rekap_tpp[], MATCH(MID(B33, FIND("NIP.", B33) + 4, LEN(B33)), INDEX(rekap_tpp[], 0, 8), 0), 5), "NIP tidak ditemukan")</f>
        <v>4569000</v>
      </c>
      <c r="I33" s="156">
        <f>IFERROR(INDEX(rekap_tpp[], MATCH(MID(B33, FIND("NIP.", B33) + 4, LEN(B33)), INDEX(rekap_tpp[], 0, 8), 0), 6), "NIP tidak ditemukan")</f>
        <v>493452</v>
      </c>
      <c r="J33" s="161"/>
      <c r="K33" s="154">
        <f t="shared" si="6"/>
        <v>4569000</v>
      </c>
      <c r="L33" s="154">
        <f t="shared" si="7"/>
        <v>182760</v>
      </c>
      <c r="M33" s="154">
        <f t="shared" si="8"/>
        <v>45690</v>
      </c>
      <c r="N33" s="154">
        <f t="shared" si="9"/>
        <v>4029858</v>
      </c>
      <c r="O33" s="154"/>
      <c r="P33" s="154">
        <f t="shared" si="10"/>
        <v>4029858</v>
      </c>
      <c r="Q33" s="154">
        <v>0</v>
      </c>
      <c r="R33" s="158">
        <f t="shared" si="11"/>
        <v>4029858</v>
      </c>
      <c r="S33" s="159" t="s">
        <v>112</v>
      </c>
    </row>
    <row r="34" spans="1:19" s="160" customFormat="1" ht="26" x14ac:dyDescent="0.35">
      <c r="A34" s="218" t="s">
        <v>54</v>
      </c>
      <c r="B34" s="152" t="s">
        <v>148</v>
      </c>
      <c r="C34" s="152" t="str">
        <f>IFERROR(INDEX(rekap_tpp[], MATCH(MID(B34, FIND("NIP.", B34) + 4, LEN(B34)), INDEX(rekap_tpp[], 0, 8), 0), 8), "NIP tidak ditemukan")</f>
        <v>197009032009032001</v>
      </c>
      <c r="D34" s="152">
        <f>IFERROR(INDEX(rekap_tpp[], MATCH(MID(B34, FIND("NIP.", B34) + 4, LEN(B34)), INDEX(rekap_tpp[], 0, 8), 0), 18), "NIP tidak ditemukan")</f>
        <v>0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5207400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55</v>
      </c>
      <c r="B35" s="152" t="s">
        <v>150</v>
      </c>
      <c r="C35" s="152" t="str">
        <f>IFERROR(INDEX(rekap_tpp[], MATCH(MID(B35, FIND("NIP.", B35) + 4, LEN(B35)), INDEX(rekap_tpp[], 0, 8), 0), 8), "NIP tidak ditemukan")</f>
        <v>197505042010011017</v>
      </c>
      <c r="D35" s="152">
        <f>IFERROR(INDEX(rekap_tpp[], MATCH(MID(B35, FIND("NIP.", B35) + 4, LEN(B35)), INDEX(rekap_tpp[], 0, 8), 0), 18), "NIP tidak ditemukan")</f>
        <v>0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69918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1539822</v>
      </c>
      <c r="O35" s="154"/>
      <c r="P35" s="154">
        <f t="shared" si="10"/>
        <v>1539822</v>
      </c>
      <c r="Q35" s="154">
        <v>0</v>
      </c>
      <c r="R35" s="158">
        <f t="shared" si="11"/>
        <v>1539822</v>
      </c>
      <c r="S35" s="159" t="s">
        <v>112</v>
      </c>
    </row>
    <row r="36" spans="1:19" s="160" customFormat="1" ht="26" x14ac:dyDescent="0.35">
      <c r="A36" s="218" t="s">
        <v>56</v>
      </c>
      <c r="B36" s="152" t="s">
        <v>155</v>
      </c>
      <c r="C36" s="152" t="str">
        <f>IFERROR(INDEX(rekap_tpp[], MATCH(MID(B36, FIND("NIP.", B36) + 4, LEN(B36)), INDEX(rekap_tpp[], 0, 8), 0), 8), "NIP tidak ditemukan")</f>
        <v>198008292009032001</v>
      </c>
      <c r="D36" s="152">
        <f>IFERROR(INDEX(rekap_tpp[], MATCH(MID(B36, FIND("NIP.", B36) + 4, LEN(B36)), INDEX(rekap_tpp[], 0, 8), 0), 18), "NIP tidak ditemukan")</f>
        <v>0</v>
      </c>
      <c r="E36" s="152" t="str">
        <f>IFERROR(INDEX(rekap_tpp[], MATCH(MID(B36, FIND("NIP.", B36) + 4, LEN(B36)), INDEX(rekap_tpp[], 0, 8), 0), 3), "NIP tidak ditemukan")</f>
        <v>Guru Muda</v>
      </c>
      <c r="F36" s="153" t="str">
        <f>IFERROR(INDEX(rekap_tpp[], MATCH(MID(B36, FIND("NIP.", B36) + 4, LEN(B36)), INDEX(rekap_tpp[], 0, 8), 0), 2), "NIP tidak ditemukan")</f>
        <v>III/d</v>
      </c>
      <c r="G36" s="154">
        <f>IFERROR(INDEX(rekap_tpp[], MATCH(MID(B36, FIND("NIP.", B36) + 4, LEN(B36)), INDEX(rekap_tpp[], 0, 8), 0), 13), "NIP tidak ditemukan")</f>
        <v>4935500</v>
      </c>
      <c r="H36" s="155">
        <f>IFERROR(INDEX(rekap_tpp[], MATCH(MID(B36, FIND("NIP.", B36) + 4, LEN(B36)), INDEX(rekap_tpp[], 0, 8), 0), 5), "NIP tidak ditemukan")</f>
        <v>1626000</v>
      </c>
      <c r="I36" s="156">
        <f>IFERROR(INDEX(rekap_tpp[], MATCH(MID(B36, FIND("NIP.", B36) + 4, LEN(B36)), INDEX(rekap_tpp[], 0, 8), 0), 6), "NIP tidak ditemukan")</f>
        <v>5691</v>
      </c>
      <c r="J36" s="161"/>
      <c r="K36" s="154">
        <f t="shared" si="6"/>
        <v>1626000</v>
      </c>
      <c r="L36" s="154">
        <f t="shared" si="7"/>
        <v>65040</v>
      </c>
      <c r="M36" s="154">
        <f t="shared" si="8"/>
        <v>16260</v>
      </c>
      <c r="N36" s="154">
        <f t="shared" si="9"/>
        <v>1604049</v>
      </c>
      <c r="O36" s="154"/>
      <c r="P36" s="154">
        <f t="shared" si="10"/>
        <v>1604049</v>
      </c>
      <c r="Q36" s="154">
        <v>0</v>
      </c>
      <c r="R36" s="158">
        <f t="shared" si="11"/>
        <v>1604049</v>
      </c>
      <c r="S36" s="159" t="s">
        <v>112</v>
      </c>
    </row>
    <row r="37" spans="1:19" ht="24.75" customHeight="1" x14ac:dyDescent="0.35">
      <c r="A37" s="149"/>
      <c r="B37" s="150"/>
      <c r="C37" s="150"/>
      <c r="D37" s="151"/>
      <c r="E37" s="151"/>
      <c r="F37" s="162"/>
      <c r="G37" s="219"/>
      <c r="H37" s="219">
        <f>SUM(H9:H36)</f>
        <v>51807000</v>
      </c>
      <c r="I37" s="219">
        <f t="shared" ref="I37:R37" si="12">SUM(I9:I36)</f>
        <v>1811326</v>
      </c>
      <c r="J37" s="219">
        <f t="shared" si="12"/>
        <v>0</v>
      </c>
      <c r="K37" s="219">
        <f t="shared" si="12"/>
        <v>51807000</v>
      </c>
      <c r="L37" s="219" t="e">
        <f t="shared" si="12"/>
        <v>#VALUE!</v>
      </c>
      <c r="M37" s="219" t="e">
        <f t="shared" si="12"/>
        <v>#VALUE!</v>
      </c>
      <c r="N37" s="219" t="e">
        <f t="shared" si="12"/>
        <v>#VALUE!</v>
      </c>
      <c r="O37" s="219">
        <f t="shared" si="12"/>
        <v>0</v>
      </c>
      <c r="P37" s="219" t="e">
        <f t="shared" si="12"/>
        <v>#VALUE!</v>
      </c>
      <c r="Q37" s="219">
        <f t="shared" si="12"/>
        <v>0</v>
      </c>
      <c r="R37" s="219" t="e">
        <f t="shared" si="12"/>
        <v>#VALUE!</v>
      </c>
      <c r="S37" s="163"/>
    </row>
    <row r="38" spans="1:19" ht="14.25" customHeight="1" x14ac:dyDescent="0.35">
      <c r="A38" s="140"/>
      <c r="B38" s="141"/>
      <c r="C38" s="141"/>
      <c r="D38" s="142"/>
      <c r="E38" s="142"/>
      <c r="F38" s="79"/>
      <c r="G38" s="140"/>
      <c r="H38" s="143"/>
      <c r="I38" s="143"/>
      <c r="J38" s="165"/>
      <c r="K38" s="140"/>
      <c r="L38" s="140"/>
      <c r="M38" s="140"/>
      <c r="N38" s="140"/>
      <c r="O38" s="144"/>
      <c r="P38" s="140"/>
      <c r="Q38" s="142"/>
      <c r="R38" s="140"/>
      <c r="S38" s="142"/>
    </row>
    <row r="39" spans="1:19" ht="14.25" customHeight="1" x14ac:dyDescent="0.35">
      <c r="A39" s="140"/>
      <c r="B39" s="207" t="s">
        <v>97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tr">
        <f>"Pangkalan Baru,        "&amp;TEXT(EDATE(C4,1),"mmmm yyyy")</f>
        <v>Pangkalan Baru,        Agustus 2026</v>
      </c>
      <c r="R39" s="140"/>
      <c r="S39" s="142"/>
    </row>
    <row r="40" spans="1:19" ht="14.25" customHeight="1" x14ac:dyDescent="0.35">
      <c r="A40" s="140"/>
      <c r="B40" s="207" t="s">
        <v>98</v>
      </c>
      <c r="C40" s="25"/>
      <c r="D40" s="208"/>
      <c r="E40" s="25"/>
      <c r="F40" s="2"/>
      <c r="G40" s="17"/>
      <c r="H40" s="19"/>
      <c r="I40" s="19"/>
      <c r="J40" s="19"/>
      <c r="L40" s="140"/>
      <c r="M40" s="140"/>
      <c r="N40" s="140"/>
      <c r="O40" s="144"/>
      <c r="P40" s="140"/>
      <c r="Q40" s="19" t="s">
        <v>57</v>
      </c>
      <c r="R40" s="140"/>
      <c r="S40" s="142"/>
    </row>
    <row r="41" spans="1:19" ht="14.25" customHeight="1" x14ac:dyDescent="0.35">
      <c r="A41" s="140"/>
      <c r="B41" s="207" t="s">
        <v>99</v>
      </c>
      <c r="C41" s="25"/>
      <c r="D41" s="208"/>
      <c r="E41" s="25"/>
      <c r="F41" s="2"/>
      <c r="G41" s="17"/>
      <c r="H41" s="19"/>
      <c r="I41" s="306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25"/>
      <c r="C44" s="25"/>
      <c r="D44" s="3"/>
      <c r="E44" s="25"/>
      <c r="F44" s="2"/>
      <c r="G44" s="17"/>
      <c r="H44" s="19"/>
      <c r="I44" s="19"/>
      <c r="J44" s="19"/>
      <c r="L44" s="140"/>
      <c r="M44" s="140"/>
      <c r="N44" s="140"/>
      <c r="O44" s="144"/>
      <c r="P44" s="140"/>
      <c r="Q44" s="19"/>
      <c r="R44" s="140"/>
      <c r="S44" s="142"/>
    </row>
    <row r="45" spans="1:19" ht="14.25" customHeight="1" x14ac:dyDescent="0.35">
      <c r="A45" s="140"/>
      <c r="B45" s="134" t="s">
        <v>25</v>
      </c>
      <c r="C45" s="134"/>
      <c r="D45" s="26"/>
      <c r="E45" s="134"/>
      <c r="F45" s="135"/>
      <c r="G45" s="136"/>
      <c r="H45" s="133"/>
      <c r="I45" s="133"/>
      <c r="J45" s="133"/>
      <c r="L45" s="140"/>
      <c r="M45" s="140"/>
      <c r="N45" s="140"/>
      <c r="O45" s="144"/>
      <c r="P45" s="140"/>
      <c r="Q45" s="133" t="s">
        <v>58</v>
      </c>
      <c r="R45" s="140"/>
      <c r="S45" s="142"/>
    </row>
    <row r="46" spans="1:19" ht="14.25" customHeight="1" x14ac:dyDescent="0.35">
      <c r="A46" s="140"/>
      <c r="B46" s="25" t="s">
        <v>26</v>
      </c>
      <c r="C46" s="25"/>
      <c r="D46" s="3"/>
      <c r="E46" s="25"/>
      <c r="F46" s="2"/>
      <c r="G46" s="17"/>
      <c r="H46" s="19"/>
      <c r="I46" s="19"/>
      <c r="J46" s="19"/>
      <c r="L46" s="140"/>
      <c r="M46" s="140"/>
      <c r="N46" s="140"/>
      <c r="O46" s="144"/>
      <c r="P46" s="140"/>
      <c r="Q46" s="19" t="s">
        <v>59</v>
      </c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4.25" customHeight="1" x14ac:dyDescent="0.35">
      <c r="A53" s="140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8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64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9.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65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  <row r="1010" spans="1:19" ht="14.25" customHeight="1" x14ac:dyDescent="0.35">
      <c r="A1010" s="140"/>
      <c r="B1010" s="141"/>
      <c r="C1010" s="141"/>
      <c r="D1010" s="142"/>
      <c r="E1010" s="142"/>
      <c r="F1010" s="79"/>
      <c r="G1010" s="140"/>
      <c r="H1010" s="143"/>
      <c r="I1010" s="143"/>
      <c r="J1010" s="142"/>
      <c r="K1010" s="140"/>
      <c r="L1010" s="140"/>
      <c r="M1010" s="140"/>
      <c r="N1010" s="140"/>
      <c r="O1010" s="144"/>
      <c r="P1010" s="140"/>
      <c r="Q1010" s="142"/>
      <c r="R1010" s="140"/>
      <c r="S1010" s="142"/>
    </row>
  </sheetData>
  <mergeCells count="21">
    <mergeCell ref="S6:S7"/>
    <mergeCell ref="N6:N7"/>
    <mergeCell ref="O6:O7"/>
    <mergeCell ref="P6:P7"/>
    <mergeCell ref="Q6:Q7"/>
    <mergeCell ref="R6:R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A2:B2"/>
    <mergeCell ref="A3:B3"/>
    <mergeCell ref="A4:B4"/>
    <mergeCell ref="A6:A7"/>
    <mergeCell ref="B6:B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8"/>
  <sheetViews>
    <sheetView showGridLines="0" topLeftCell="A17" zoomScale="55" zoomScaleNormal="55" workbookViewId="0">
      <selection activeCell="D5" sqref="D5:D32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 t="str">
        <f>IFERROR(INDEX(rekap_tpp[], MATCH(MID(B5, FIND("NIP.", B5) + 4, LEN(B5)), INDEX(rekap_tpp[], 0, 8), 0), 15), "NIP tidak ditemukan")</f>
        <v>Guru Muda</v>
      </c>
      <c r="D5" s="223">
        <f>IFERROR(INDEX(rekap_tpp[], MATCH(MID(B5, FIND("NIP.", B5) + 4, LEN(B5)), INDEX(rekap_tpp[], 0, 8), 0), 18), "NIP tidak ditemukan")</f>
        <v>0</v>
      </c>
      <c r="E5" s="223">
        <f>IFERROR(INDEX(rekap_tpp[], MATCH(MID(B5, FIND("NIP.", B5) + 4, LEN(B5)), INDEX(rekap_tpp[], 0, 8), 0), 17), "NIP tidak ditemukan")</f>
        <v>666660</v>
      </c>
      <c r="F5" s="223">
        <f>IFERROR(INDEX(rekap_tpp[], MATCH(MID(B5, FIND("NIP.", B5) + 4, LEN(B5)), INDEX(rekap_tpp[], 0, 8), 0), 16), "NIP tidak ditemukan")</f>
        <v>1626000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 t="str">
        <f>IFERROR(INDEX(rekap_tpp[], MATCH(MID(B6, FIND("NIP.", B6) + 4, LEN(B6)), INDEX(rekap_tpp[], 0, 8), 0), 15), "NIP tidak ditemukan")</f>
        <v>Guru Pertama</v>
      </c>
      <c r="D6" s="223">
        <f>IFERROR(INDEX(rekap_tpp[], MATCH(MID(B6, FIND("NIP.", B6) + 4, LEN(B6)), INDEX(rekap_tpp[], 0, 8), 0), 18), "NIP tidak ditemukan")</f>
        <v>0</v>
      </c>
      <c r="E6" s="223">
        <f>IFERROR(INDEX(rekap_tpp[], MATCH(MID(B6, FIND("NIP.", B6) + 4, LEN(B6)), INDEX(rekap_tpp[], 0, 8), 0), 17), "NIP tidak ditemukan")</f>
        <v>835120</v>
      </c>
      <c r="F6" s="223">
        <f>IFERROR(INDEX(rekap_tpp[], MATCH(MID(B6, FIND("NIP.", B6) + 4, LEN(B6)), INDEX(rekap_tpp[], 0, 8), 0), 16), "NIP tidak ditemukan")</f>
        <v>1606000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2" si="0">A6+1</f>
        <v>3</v>
      </c>
      <c r="B7" s="239" t="str">
        <f>bpjs!B11</f>
        <v>DEBY SILVIA
NIP.199001222019022005</v>
      </c>
      <c r="C7" s="223" t="str">
        <f>IFERROR(INDEX(rekap_tpp[], MATCH(MID(B7, FIND("NIP.", B7) + 4, LEN(B7)), INDEX(rekap_tpp[], 0, 8), 0), 15), "NIP tidak ditemukan")</f>
        <v>Guru Pertama</v>
      </c>
      <c r="D7" s="223">
        <f>IFERROR(INDEX(rekap_tpp[], MATCH(MID(B7, FIND("NIP.", B7) + 4, LEN(B7)), INDEX(rekap_tpp[], 0, 8), 0), 18), "NIP tidak ditemukan")</f>
        <v>0</v>
      </c>
      <c r="E7" s="223">
        <f>IFERROR(INDEX(rekap_tpp[], MATCH(MID(B7, FIND("NIP.", B7) + 4, LEN(B7)), INDEX(rekap_tpp[], 0, 8), 0), 17), "NIP tidak ditemukan")</f>
        <v>835120</v>
      </c>
      <c r="F7" s="223">
        <f>IFERROR(INDEX(rekap_tpp[], MATCH(MID(B7, FIND("NIP.", B7) + 4, LEN(B7)), INDEX(rekap_tpp[], 0, 8), 0), 16), "NIP tidak ditemukan")</f>
        <v>1606000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 t="str">
        <f>IFERROR(INDEX(rekap_tpp[], MATCH(MID(B8, FIND("NIP.", B8) + 4, LEN(B8)), INDEX(rekap_tpp[], 0, 8), 0), 15), "NIP tidak ditemukan")</f>
        <v>Guru Muda</v>
      </c>
      <c r="D8" s="223">
        <f>IFERROR(INDEX(rekap_tpp[], MATCH(MID(B8, FIND("NIP.", B8) + 4, LEN(B8)), INDEX(rekap_tpp[], 0, 8), 0), 18), "NIP tidak ditemukan")</f>
        <v>0</v>
      </c>
      <c r="E8" s="223">
        <f>IFERROR(INDEX(rekap_tpp[], MATCH(MID(B8, FIND("NIP.", B8) + 4, LEN(B8)), INDEX(rekap_tpp[], 0, 8), 0), 17), "NIP tidak ditemukan")</f>
        <v>666660</v>
      </c>
      <c r="F8" s="223">
        <f>IFERROR(INDEX(rekap_tpp[], MATCH(MID(B8, FIND("NIP.", B8) + 4, LEN(B8)), INDEX(rekap_tpp[], 0, 8), 0), 16), "NIP tidak ditemukan")</f>
        <v>1626000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 t="str">
        <f>IFERROR(INDEX(rekap_tpp[], MATCH(MID(B9, FIND("NIP.", B9) + 4, LEN(B9)), INDEX(rekap_tpp[], 0, 8), 0), 15), "NIP tidak ditemukan")</f>
        <v>Guru Muda</v>
      </c>
      <c r="D9" s="223">
        <f>IFERROR(INDEX(rekap_tpp[], MATCH(MID(B9, FIND("NIP.", B9) + 4, LEN(B9)), INDEX(rekap_tpp[], 0, 8), 0), 18), "NIP tidak ditemukan")</f>
        <v>0</v>
      </c>
      <c r="E9" s="223">
        <f>IFERROR(INDEX(rekap_tpp[], MATCH(MID(B9, FIND("NIP.", B9) + 4, LEN(B9)), INDEX(rekap_tpp[], 0, 8), 0), 17), "NIP tidak ditemukan")</f>
        <v>661993</v>
      </c>
      <c r="F9" s="223">
        <f>IFERROR(INDEX(rekap_tpp[], MATCH(MID(B9, FIND("NIP.", B9) + 4, LEN(B9)), INDEX(rekap_tpp[], 0, 8), 0), 16), "NIP tidak ditemukan")</f>
        <v>1614618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 t="str">
        <f>IFERROR(INDEX(rekap_tpp[], MATCH(MID(B10, FIND("NIP.", B10) + 4, LEN(B10)), INDEX(rekap_tpp[], 0, 8), 0), 15), "NIP tidak ditemukan")</f>
        <v>Guru Muda</v>
      </c>
      <c r="D10" s="223">
        <f>IFERROR(INDEX(rekap_tpp[], MATCH(MID(B10, FIND("NIP.", B10) + 4, LEN(B10)), INDEX(rekap_tpp[], 0, 8), 0), 18), "NIP tidak ditemukan")</f>
        <v>0</v>
      </c>
      <c r="E10" s="223">
        <f>IFERROR(INDEX(rekap_tpp[], MATCH(MID(B10, FIND("NIP.", B10) + 4, LEN(B10)), INDEX(rekap_tpp[], 0, 8), 0), 17), "NIP tidak ditemukan")</f>
        <v>666660</v>
      </c>
      <c r="F10" s="223">
        <f>IFERROR(INDEX(rekap_tpp[], MATCH(MID(B10, FIND("NIP.", B10) + 4, LEN(B10)), INDEX(rekap_tpp[], 0, 8), 0), 16), "NIP tidak ditemukan")</f>
        <v>1626000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 t="str">
        <f>IFERROR(INDEX(rekap_tpp[], MATCH(MID(B11, FIND("NIP.", B11) + 4, LEN(B11)), INDEX(rekap_tpp[], 0, 8), 0), 15), "NIP tidak ditemukan")</f>
        <v>Guru Ahli Madya</v>
      </c>
      <c r="D11" s="223">
        <f>IFERROR(INDEX(rekap_tpp[], MATCH(MID(B11, FIND("NIP.", B11) + 4, LEN(B11)), INDEX(rekap_tpp[], 0, 8), 0), 18), "NIP tidak ditemukan")</f>
        <v>0</v>
      </c>
      <c r="E11" s="223">
        <f>IFERROR(INDEX(rekap_tpp[], MATCH(MID(B11, FIND("NIP.", B11) + 4, LEN(B11)), INDEX(rekap_tpp[], 0, 8), 0), 17), "NIP tidak ditemukan")</f>
        <v>562455</v>
      </c>
      <c r="F11" s="223">
        <f>IFERROR(INDEX(rekap_tpp[], MATCH(MID(B11, FIND("NIP.", B11) + 4, LEN(B11)), INDEX(rekap_tpp[], 0, 8), 0), 16), "NIP tidak ditemukan")</f>
        <v>1814370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 t="str">
        <f>IFERROR(INDEX(rekap_tpp[], MATCH(MID(B12, FIND("NIP.", B12) + 4, LEN(B12)), INDEX(rekap_tpp[], 0, 8), 0), 15), "NIP tidak ditemukan")</f>
        <v>Guru Muda</v>
      </c>
      <c r="D12" s="223">
        <f>IFERROR(INDEX(rekap_tpp[], MATCH(MID(B12, FIND("NIP.", B12) + 4, LEN(B12)), INDEX(rekap_tpp[], 0, 8), 0), 18), "NIP tidak ditemukan")</f>
        <v>0</v>
      </c>
      <c r="E12" s="223">
        <f>IFERROR(INDEX(rekap_tpp[], MATCH(MID(B12, FIND("NIP.", B12) + 4, LEN(B12)), INDEX(rekap_tpp[], 0, 8), 0), 17), "NIP tidak ditemukan")</f>
        <v>664327</v>
      </c>
      <c r="F12" s="223">
        <f>IFERROR(INDEX(rekap_tpp[], MATCH(MID(B12, FIND("NIP.", B12) + 4, LEN(B12)), INDEX(rekap_tpp[], 0, 8), 0), 16), "NIP tidak ditemukan")</f>
        <v>1620309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 t="str">
        <f>IFERROR(INDEX(rekap_tpp[], MATCH(MID(B13, FIND("NIP.", B13) + 4, LEN(B13)), INDEX(rekap_tpp[], 0, 8), 0), 15), "NIP tidak ditemukan")</f>
        <v>Guru Ahli Madya</v>
      </c>
      <c r="D13" s="223">
        <f>IFERROR(INDEX(rekap_tpp[], MATCH(MID(B13, FIND("NIP.", B13) + 4, LEN(B13)), INDEX(rekap_tpp[], 0, 8), 0), 18), "NIP tidak ditemukan")</f>
        <v>0</v>
      </c>
      <c r="E13" s="223">
        <f>IFERROR(INDEX(rekap_tpp[], MATCH(MID(B13, FIND("NIP.", B13) + 4, LEN(B13)), INDEX(rekap_tpp[], 0, 8), 0), 17), "NIP tidak ditemukan")</f>
        <v>569021</v>
      </c>
      <c r="F13" s="223">
        <f>IFERROR(INDEX(rekap_tpp[], MATCH(MID(B13, FIND("NIP.", B13) + 4, LEN(B13)), INDEX(rekap_tpp[], 0, 8), 0), 16), "NIP tidak ditemukan")</f>
        <v>1835553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 t="str">
        <f>IFERROR(INDEX(rekap_tpp[], MATCH(MID(B14, FIND("NIP.", B14) + 4, LEN(B14)), INDEX(rekap_tpp[], 0, 8), 0), 15), "NIP tidak ditemukan")</f>
        <v>Analis Sumber Daya Manusia Aparatur Ahli Muda</v>
      </c>
      <c r="D14" s="223">
        <f>IFERROR(INDEX(rekap_tpp[], MATCH(MID(B14, FIND("NIP.", B14) + 4, LEN(B14)), INDEX(rekap_tpp[], 0, 8), 0), 18), "NIP tidak ditemukan")</f>
        <v>0</v>
      </c>
      <c r="E14" s="223">
        <f>IFERROR(INDEX(rekap_tpp[], MATCH(MID(B14, FIND("NIP.", B14) + 4, LEN(B14)), INDEX(rekap_tpp[], 0, 8), 0), 17), "NIP tidak ditemukan")</f>
        <v>3984120</v>
      </c>
      <c r="F14" s="223">
        <f>IFERROR(INDEX(rekap_tpp[], MATCH(MID(B14, FIND("NIP.", B14) + 4, LEN(B14)), INDEX(rekap_tpp[], 0, 8), 0), 16), "NIP tidak ditemukan")</f>
        <v>4743000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 t="str">
        <f>IFERROR(INDEX(rekap_tpp[], MATCH(MID(B15, FIND("NIP.", B15) + 4, LEN(B15)), INDEX(rekap_tpp[], 0, 8), 0), 15), "NIP tidak ditemukan")</f>
        <v>Guru Pertama</v>
      </c>
      <c r="D15" s="223">
        <f>IFERROR(INDEX(rekap_tpp[], MATCH(MID(B15, FIND("NIP.", B15) + 4, LEN(B15)), INDEX(rekap_tpp[], 0, 8), 0), 18), "NIP tidak ditemukan")</f>
        <v>0</v>
      </c>
      <c r="E15" s="223">
        <f>IFERROR(INDEX(rekap_tpp[], MATCH(MID(B15, FIND("NIP.", B15) + 4, LEN(B15)), INDEX(rekap_tpp[], 0, 8), 0), 17), "NIP tidak ditemukan")</f>
        <v>835120</v>
      </c>
      <c r="F15" s="223">
        <f>IFERROR(INDEX(rekap_tpp[], MATCH(MID(B15, FIND("NIP.", B15) + 4, LEN(B15)), INDEX(rekap_tpp[], 0, 8), 0), 16), "NIP tidak ditemukan")</f>
        <v>1606000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 t="str">
        <f>IFERROR(INDEX(rekap_tpp[], MATCH(MID(B16, FIND("NIP.", B16) + 4, LEN(B16)), INDEX(rekap_tpp[], 0, 8), 0), 15), "NIP tidak ditemukan")</f>
        <v>Guru Ahli Madya</v>
      </c>
      <c r="D16" s="223">
        <f>IFERROR(INDEX(rekap_tpp[], MATCH(MID(B16, FIND("NIP.", B16) + 4, LEN(B16)), INDEX(rekap_tpp[], 0, 8), 0), 18), "NIP tidak ditemukan")</f>
        <v>0</v>
      </c>
      <c r="E16" s="223">
        <f>IFERROR(INDEX(rekap_tpp[], MATCH(MID(B16, FIND("NIP.", B16) + 4, LEN(B16)), INDEX(rekap_tpp[], 0, 8), 0), 17), "NIP tidak ditemukan")</f>
        <v>571020</v>
      </c>
      <c r="F16" s="223">
        <f>IFERROR(INDEX(rekap_tpp[], MATCH(MID(B16, FIND("NIP.", B16) + 4, LEN(B16)), INDEX(rekap_tpp[], 0, 8), 0), 16), "NIP tidak ditemukan")</f>
        <v>1842000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 t="str">
        <f>IFERROR(INDEX(rekap_tpp[], MATCH(MID(B17, FIND("NIP.", B17) + 4, LEN(B17)), INDEX(rekap_tpp[], 0, 8), 0), 15), "NIP tidak ditemukan")</f>
        <v>Guru Muda</v>
      </c>
      <c r="D17" s="223">
        <f>IFERROR(INDEX(rekap_tpp[], MATCH(MID(B17, FIND("NIP.", B17) + 4, LEN(B17)), INDEX(rekap_tpp[], 0, 8), 0), 18), "NIP tidak ditemukan")</f>
        <v>0</v>
      </c>
      <c r="E17" s="223">
        <f>IFERROR(INDEX(rekap_tpp[], MATCH(MID(B17, FIND("NIP.", B17) + 4, LEN(B17)), INDEX(rekap_tpp[], 0, 8), 0), 17), "NIP tidak ditemukan")</f>
        <v>664327</v>
      </c>
      <c r="F17" s="223">
        <f>IFERROR(INDEX(rekap_tpp[], MATCH(MID(B17, FIND("NIP.", B17) + 4, LEN(B17)), INDEX(rekap_tpp[], 0, 8), 0), 16), "NIP tidak ditemukan")</f>
        <v>1620309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 t="str">
        <f>IFERROR(INDEX(rekap_tpp[], MATCH(MID(B18, FIND("NIP.", B18) + 4, LEN(B18)), INDEX(rekap_tpp[], 0, 8), 0), 15), "NIP tidak ditemukan")</f>
        <v>Guru Muda</v>
      </c>
      <c r="D18" s="223">
        <f>IFERROR(INDEX(rekap_tpp[], MATCH(MID(B18, FIND("NIP.", B18) + 4, LEN(B18)), INDEX(rekap_tpp[], 0, 8), 0), 18), "NIP tidak ditemukan")</f>
        <v>0</v>
      </c>
      <c r="E18" s="223">
        <f>IFERROR(INDEX(rekap_tpp[], MATCH(MID(B18, FIND("NIP.", B18) + 4, LEN(B18)), INDEX(rekap_tpp[], 0, 8), 0), 17), "NIP tidak ditemukan")</f>
        <v>666660</v>
      </c>
      <c r="F18" s="223">
        <f>IFERROR(INDEX(rekap_tpp[], MATCH(MID(B18, FIND("NIP.", B18) + 4, LEN(B18)), INDEX(rekap_tpp[], 0, 8), 0), 16), "NIP tidak ditemukan")</f>
        <v>1626000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 t="str">
        <f>IFERROR(INDEX(rekap_tpp[], MATCH(MID(B19, FIND("NIP.", B19) + 4, LEN(B19)), INDEX(rekap_tpp[], 0, 8), 0), 15), "NIP tidak ditemukan")</f>
        <v>Guru Muda</v>
      </c>
      <c r="D19" s="223">
        <f>IFERROR(INDEX(rekap_tpp[], MATCH(MID(B19, FIND("NIP.", B19) + 4, LEN(B19)), INDEX(rekap_tpp[], 0, 8), 0), 18), "NIP tidak ditemukan")</f>
        <v>0</v>
      </c>
      <c r="E19" s="223">
        <f>IFERROR(INDEX(rekap_tpp[], MATCH(MID(B19, FIND("NIP.", B19) + 4, LEN(B19)), INDEX(rekap_tpp[], 0, 8), 0), 17), "NIP tidak ditemukan")</f>
        <v>666660</v>
      </c>
      <c r="F19" s="223">
        <f>IFERROR(INDEX(rekap_tpp[], MATCH(MID(B19, FIND("NIP.", B19) + 4, LEN(B19)), INDEX(rekap_tpp[], 0, 8), 0), 16), "NIP tidak ditemukan")</f>
        <v>1626000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 t="str">
        <f>IFERROR(INDEX(rekap_tpp[], MATCH(MID(B20, FIND("NIP.", B20) + 4, LEN(B20)), INDEX(rekap_tpp[], 0, 8), 0), 15), "NIP tidak ditemukan")</f>
        <v>Guru Muda</v>
      </c>
      <c r="D20" s="223">
        <f>IFERROR(INDEX(rekap_tpp[], MATCH(MID(B20, FIND("NIP.", B20) + 4, LEN(B20)), INDEX(rekap_tpp[], 0, 8), 0), 18), "NIP tidak ditemukan")</f>
        <v>0</v>
      </c>
      <c r="E20" s="223">
        <f>IFERROR(INDEX(rekap_tpp[], MATCH(MID(B20, FIND("NIP.", B20) + 4, LEN(B20)), INDEX(rekap_tpp[], 0, 8), 0), 17), "NIP tidak ditemukan")</f>
        <v>666660</v>
      </c>
      <c r="F20" s="223">
        <f>IFERROR(INDEX(rekap_tpp[], MATCH(MID(B20, FIND("NIP.", B20) + 4, LEN(B20)), INDEX(rekap_tpp[], 0, 8), 0), 16), "NIP tidak ditemukan")</f>
        <v>1626000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LUQMAN SYARIEF
NIP.198010042010011016</v>
      </c>
      <c r="C21" s="223" t="str">
        <f>IFERROR(INDEX(rekap_tpp[], MATCH(MID(B21, FIND("NIP.", B21) + 4, LEN(B21)), INDEX(rekap_tpp[], 0, 8), 0), 15), "NIP tidak ditemukan")</f>
        <v>NIP tidak ditemukan</v>
      </c>
      <c r="D21" s="223" t="str">
        <f>IFERROR(INDEX(rekap_tpp[], MATCH(MID(B21, FIND("NIP.", B21) + 4, LEN(B21)), INDEX(rekap_tpp[], 0, 8), 0), 18), "NIP tidak ditemukan")</f>
        <v>NIP tidak ditemukan</v>
      </c>
      <c r="E21" s="223" t="str">
        <f>IFERROR(INDEX(rekap_tpp[], MATCH(MID(B21, FIND("NIP.", B21) + 4, LEN(B21)), INDEX(rekap_tpp[], 0, 8), 0), 17), "NIP tidak ditemukan")</f>
        <v>NIP tidak ditemukan</v>
      </c>
      <c r="F21" s="223" t="str">
        <f>IFERROR(INDEX(rekap_tpp[], MATCH(MID(B21, FIND("NIP.", B21) + 4, LEN(B21)), INDEX(rekap_tpp[], 0, 8), 0), 16), "NIP tidak ditemukan")</f>
        <v>NIP tidak ditemukan</v>
      </c>
      <c r="G21" s="223" t="str">
        <f>IFERROR(INDEX(rekap_tpp[], MATCH(MID(B21, FIND("NIP.", B21) + 4, LEN(B21)), INDEX(rekap_tpp[], 0, 8), 0), 19), "NIP tidak ditemukan")</f>
        <v>NIP tidak ditemukan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MARHAYSON
NIP.198803192014021001</v>
      </c>
      <c r="C22" s="223" t="str">
        <f>IFERROR(INDEX(rekap_tpp[], MATCH(MID(B22, FIND("NIP.", B22) + 4, LEN(B22)), INDEX(rekap_tpp[], 0, 8), 0), 15), "NIP tidak ditemukan")</f>
        <v>Guru Muda</v>
      </c>
      <c r="D22" s="223">
        <f>IFERROR(INDEX(rekap_tpp[], MATCH(MID(B22, FIND("NIP.", B22) + 4, LEN(B22)), INDEX(rekap_tpp[], 0, 8), 0), 18), "NIP tidak ditemukan")</f>
        <v>0</v>
      </c>
      <c r="E22" s="223">
        <f>IFERROR(INDEX(rekap_tpp[], MATCH(MID(B22, FIND("NIP.", B22) + 4, LEN(B22)), INDEX(rekap_tpp[], 0, 8), 0), 17), "NIP tidak ditemukan")</f>
        <v>666660</v>
      </c>
      <c r="F22" s="223">
        <f>IFERROR(INDEX(rekap_tpp[], MATCH(MID(B22, FIND("NIP.", B22) + 4, LEN(B22)), INDEX(rekap_tpp[], 0, 8), 0), 16), "NIP tidak ditemukan")</f>
        <v>1626000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MARLIYANTI
NIP.198502272009032001</v>
      </c>
      <c r="C23" s="223" t="str">
        <f>IFERROR(INDEX(rekap_tpp[], MATCH(MID(B23, FIND("NIP.", B23) + 4, LEN(B23)), INDEX(rekap_tpp[], 0, 8), 0), 15), "NIP tidak ditemukan")</f>
        <v>Guru Muda</v>
      </c>
      <c r="D23" s="223">
        <f>IFERROR(INDEX(rekap_tpp[], MATCH(MID(B23, FIND("NIP.", B23) + 4, LEN(B23)), INDEX(rekap_tpp[], 0, 8), 0), 18), "NIP tidak ditemukan")</f>
        <v>0</v>
      </c>
      <c r="E23" s="223">
        <f>IFERROR(INDEX(rekap_tpp[], MATCH(MID(B23, FIND("NIP.", B23) + 4, LEN(B23)), INDEX(rekap_tpp[], 0, 8), 0), 17), "NIP tidak ditemukan")</f>
        <v>664327</v>
      </c>
      <c r="F23" s="223">
        <f>IFERROR(INDEX(rekap_tpp[], MATCH(MID(B23, FIND("NIP.", B23) + 4, LEN(B23)), INDEX(rekap_tpp[], 0, 8), 0), 16), "NIP tidak ditemukan")</f>
        <v>1620309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MARNI
NIP.197907062006042016</v>
      </c>
      <c r="C24" s="223" t="str">
        <f>IFERROR(INDEX(rekap_tpp[], MATCH(MID(B24, FIND("NIP.", B24) + 4, LEN(B24)), INDEX(rekap_tpp[], 0, 8), 0), 15), "NIP tidak ditemukan")</f>
        <v>Bendahara</v>
      </c>
      <c r="D24" s="223">
        <f>IFERROR(INDEX(rekap_tpp[], MATCH(MID(B24, FIND("NIP.", B24) + 4, LEN(B24)), INDEX(rekap_tpp[], 0, 8), 0), 18), "NIP tidak ditemukan")</f>
        <v>0</v>
      </c>
      <c r="E24" s="223">
        <f>IFERROR(INDEX(rekap_tpp[], MATCH(MID(B24, FIND("NIP.", B24) + 4, LEN(B24)), INDEX(rekap_tpp[], 0, 8), 0), 17), "NIP tidak ditemukan")</f>
        <v>1973580</v>
      </c>
      <c r="F24" s="223">
        <f>IFERROR(INDEX(rekap_tpp[], MATCH(MID(B24, FIND("NIP.", B24) + 4, LEN(B24)), INDEX(rekap_tpp[], 0, 8), 0), 16), "NIP tidak ditemukan")</f>
        <v>2667000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NURWAZATTI ESA
NIP.198611132010012005</v>
      </c>
      <c r="C25" s="223" t="str">
        <f>IFERROR(INDEX(rekap_tpp[], MATCH(MID(B25, FIND("NIP.", B25) + 4, LEN(B25)), INDEX(rekap_tpp[], 0, 8), 0), 15), "NIP tidak ditemukan")</f>
        <v>Guru Muda</v>
      </c>
      <c r="D25" s="223">
        <f>IFERROR(INDEX(rekap_tpp[], MATCH(MID(B25, FIND("NIP.", B25) + 4, LEN(B25)), INDEX(rekap_tpp[], 0, 8), 0), 18), "NIP tidak ditemukan")</f>
        <v>0</v>
      </c>
      <c r="E25" s="223">
        <f>IFERROR(INDEX(rekap_tpp[], MATCH(MID(B25, FIND("NIP.", B25) + 4, LEN(B25)), INDEX(rekap_tpp[], 0, 8), 0), 17), "NIP tidak ditemukan")</f>
        <v>666660</v>
      </c>
      <c r="F25" s="223">
        <f>IFERROR(INDEX(rekap_tpp[], MATCH(MID(B25, FIND("NIP.", B25) + 4, LEN(B25)), INDEX(rekap_tpp[], 0, 8), 0), 16), "NIP tidak ditemukan")</f>
        <v>1626000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PADILAWATI
NIP.197902192010012005</v>
      </c>
      <c r="C26" s="223" t="str">
        <f>IFERROR(INDEX(rekap_tpp[], MATCH(MID(B26, FIND("NIP.", B26) + 4, LEN(B26)), INDEX(rekap_tpp[], 0, 8), 0), 15), "NIP tidak ditemukan")</f>
        <v>Guru Muda</v>
      </c>
      <c r="D26" s="223">
        <f>IFERROR(INDEX(rekap_tpp[], MATCH(MID(B26, FIND("NIP.", B26) + 4, LEN(B26)), INDEX(rekap_tpp[], 0, 8), 0), 18), "NIP tidak ditemukan")</f>
        <v>0</v>
      </c>
      <c r="E26" s="223">
        <f>IFERROR(INDEX(rekap_tpp[], MATCH(MID(B26, FIND("NIP.", B26) + 4, LEN(B26)), INDEX(rekap_tpp[], 0, 8), 0), 17), "NIP tidak ditemukan")</f>
        <v>666660</v>
      </c>
      <c r="F26" s="223">
        <f>IFERROR(INDEX(rekap_tpp[], MATCH(MID(B26, FIND("NIP.", B26) + 4, LEN(B26)), INDEX(rekap_tpp[], 0, 8), 0), 16), "NIP tidak ditemukan")</f>
        <v>1626000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RIZALDI
NIP.197608312006041006</v>
      </c>
      <c r="C27" s="223" t="str">
        <f>IFERROR(INDEX(rekap_tpp[], MATCH(MID(B27, FIND("NIP.", B27) + 4, LEN(B27)), INDEX(rekap_tpp[], 0, 8), 0), 15), "NIP tidak ditemukan")</f>
        <v>Guru Ahli Madya</v>
      </c>
      <c r="D27" s="223">
        <f>IFERROR(INDEX(rekap_tpp[], MATCH(MID(B27, FIND("NIP.", B27) + 4, LEN(B27)), INDEX(rekap_tpp[], 0, 8), 0), 18), "NIP tidak ditemukan")</f>
        <v>0</v>
      </c>
      <c r="E27" s="223">
        <f>IFERROR(INDEX(rekap_tpp[], MATCH(MID(B27, FIND("NIP.", B27) + 4, LEN(B27)), INDEX(rekap_tpp[], 0, 8), 0), 17), "NIP tidak ditemukan")</f>
        <v>569021</v>
      </c>
      <c r="F27" s="223">
        <f>IFERROR(INDEX(rekap_tpp[], MATCH(MID(B27, FIND("NIP.", B27) + 4, LEN(B27)), INDEX(rekap_tpp[], 0, 8), 0), 16), "NIP tidak ditemukan")</f>
        <v>1835553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SRI HANDAYANI
NIP.198112102009032002</v>
      </c>
      <c r="C28" s="223" t="str">
        <f>IFERROR(INDEX(rekap_tpp[], MATCH(MID(B28, FIND("NIP.", B28) + 4, LEN(B28)), INDEX(rekap_tpp[], 0, 8), 0), 15), "NIP tidak ditemukan")</f>
        <v>Guru Muda</v>
      </c>
      <c r="D28" s="223">
        <f>IFERROR(INDEX(rekap_tpp[], MATCH(MID(B28, FIND("NIP.", B28) + 4, LEN(B28)), INDEX(rekap_tpp[], 0, 8), 0), 18), "NIP tidak ditemukan")</f>
        <v>0</v>
      </c>
      <c r="E28" s="223">
        <f>IFERROR(INDEX(rekap_tpp[], MATCH(MID(B28, FIND("NIP.", B28) + 4, LEN(B28)), INDEX(rekap_tpp[], 0, 8), 0), 17), "NIP tidak ditemukan")</f>
        <v>664327</v>
      </c>
      <c r="F28" s="223">
        <f>IFERROR(INDEX(rekap_tpp[], MATCH(MID(B28, FIND("NIP.", B28) + 4, LEN(B28)), INDEX(rekap_tpp[], 0, 8), 0), 16), "NIP tidak ditemukan")</f>
        <v>1620309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SYAHRYANTO
NIP.197708262006041005</v>
      </c>
      <c r="C29" s="223" t="str">
        <f>IFERROR(INDEX(rekap_tpp[], MATCH(MID(B29, FIND("NIP.", B29) + 4, LEN(B29)), INDEX(rekap_tpp[], 0, 8), 0), 15), "NIP tidak ditemukan")</f>
        <v>Kepala Sekolah SMKN 1 Koba Bangka Tengah</v>
      </c>
      <c r="D29" s="223">
        <f>IFERROR(INDEX(rekap_tpp[], MATCH(MID(B29, FIND("NIP.", B29) + 4, LEN(B29)), INDEX(rekap_tpp[], 0, 8), 0), 18), "NIP tidak ditemukan")</f>
        <v>0</v>
      </c>
      <c r="E29" s="223">
        <f>IFERROR(INDEX(rekap_tpp[], MATCH(MID(B29, FIND("NIP.", B29) + 4, LEN(B29)), INDEX(rekap_tpp[], 0, 8), 0), 17), "NIP tidak ditemukan")</f>
        <v>3289680</v>
      </c>
      <c r="F29" s="223">
        <f>IFERROR(INDEX(rekap_tpp[], MATCH(MID(B29, FIND("NIP.", B29) + 4, LEN(B29)), INDEX(rekap_tpp[], 0, 8), 0), 16), "NIP tidak ditemukan")</f>
        <v>4569000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SYAMSIAH
NIP.197009032009032001</v>
      </c>
      <c r="C30" s="223" t="str">
        <f>IFERROR(INDEX(rekap_tpp[], MATCH(MID(B30, FIND("NIP.", B30) + 4, LEN(B30)), INDEX(rekap_tpp[], 0, 8), 0), 15), "NIP tidak ditemukan")</f>
        <v>Guru Muda</v>
      </c>
      <c r="D30" s="223">
        <f>IFERROR(INDEX(rekap_tpp[], MATCH(MID(B30, FIND("NIP.", B30) + 4, LEN(B30)), INDEX(rekap_tpp[], 0, 8), 0), 18), "NIP tidak ditemukan")</f>
        <v>0</v>
      </c>
      <c r="E30" s="223">
        <f>IFERROR(INDEX(rekap_tpp[], MATCH(MID(B30, FIND("NIP.", B30) + 4, LEN(B30)), INDEX(rekap_tpp[], 0, 8), 0), 17), "NIP tidak ditemukan")</f>
        <v>666660</v>
      </c>
      <c r="F30" s="223">
        <f>IFERROR(INDEX(rekap_tpp[], MATCH(MID(B30, FIND("NIP.", B30) + 4, LEN(B30)), INDEX(rekap_tpp[], 0, 8), 0), 16), "NIP tidak ditemukan")</f>
        <v>1626000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TOTOK SUPRIJADI
NIP.197505042010011017</v>
      </c>
      <c r="C31" s="223" t="str">
        <f>IFERROR(INDEX(rekap_tpp[], MATCH(MID(B31, FIND("NIP.", B31) + 4, LEN(B31)), INDEX(rekap_tpp[], 0, 8), 0), 15), "NIP tidak ditemukan")</f>
        <v>Guru Muda</v>
      </c>
      <c r="D31" s="223">
        <f>IFERROR(INDEX(rekap_tpp[], MATCH(MID(B31, FIND("NIP.", B31) + 4, LEN(B31)), INDEX(rekap_tpp[], 0, 8), 0), 18), "NIP tidak ditemukan")</f>
        <v>0</v>
      </c>
      <c r="E31" s="223">
        <f>IFERROR(INDEX(rekap_tpp[], MATCH(MID(B31, FIND("NIP.", B31) + 4, LEN(B31)), INDEX(rekap_tpp[], 0, 8), 0), 17), "NIP tidak ditemukan")</f>
        <v>664327</v>
      </c>
      <c r="F31" s="223">
        <f>IFERROR(INDEX(rekap_tpp[], MATCH(MID(B31, FIND("NIP.", B31) + 4, LEN(B31)), INDEX(rekap_tpp[], 0, 8), 0), 16), "NIP tidak ditemukan")</f>
        <v>1620309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s="182" customFormat="1" ht="31" x14ac:dyDescent="0.35">
      <c r="A32" s="240">
        <f t="shared" si="0"/>
        <v>28</v>
      </c>
      <c r="B32" s="239" t="str">
        <f>bpjs!B36</f>
        <v>YOPA AGUSTINA
NIP.198008292009032001</v>
      </c>
      <c r="C32" s="223" t="str">
        <f>IFERROR(INDEX(rekap_tpp[], MATCH(MID(B32, FIND("NIP.", B32) + 4, LEN(B32)), INDEX(rekap_tpp[], 0, 8), 0), 15), "NIP tidak ditemukan")</f>
        <v>Guru Muda</v>
      </c>
      <c r="D32" s="223">
        <f>IFERROR(INDEX(rekap_tpp[], MATCH(MID(B32, FIND("NIP.", B32) + 4, LEN(B32)), INDEX(rekap_tpp[], 0, 8), 0), 18), "NIP tidak ditemukan")</f>
        <v>0</v>
      </c>
      <c r="E32" s="223">
        <f>IFERROR(INDEX(rekap_tpp[], MATCH(MID(B32, FIND("NIP.", B32) + 4, LEN(B32)), INDEX(rekap_tpp[], 0, 8), 0), 17), "NIP tidak ditemukan")</f>
        <v>666660</v>
      </c>
      <c r="F32" s="223">
        <f>IFERROR(INDEX(rekap_tpp[], MATCH(MID(B32, FIND("NIP.", B32) + 4, LEN(B32)), INDEX(rekap_tpp[], 0, 8), 0), 16), "NIP tidak ditemukan")</f>
        <v>1626000</v>
      </c>
      <c r="G32" s="223">
        <f>IFERROR(INDEX(rekap_tpp[], MATCH(MID(B32, FIND("NIP.", B32) + 4, LEN(B32)), INDEX(rekap_tpp[], 0, 8), 0), 19), "NIP tidak ditemukan")</f>
        <v>0</v>
      </c>
      <c r="H32" s="238"/>
    </row>
    <row r="33" spans="1:8" ht="27" customHeight="1" x14ac:dyDescent="0.35">
      <c r="A33" s="361" t="s">
        <v>67</v>
      </c>
      <c r="B33" s="362"/>
      <c r="C33" s="241">
        <f>SUM(C5:C32)</f>
        <v>0</v>
      </c>
      <c r="D33" s="241">
        <f>SUM(D5:D32)</f>
        <v>0</v>
      </c>
      <c r="E33" s="241">
        <f t="shared" ref="E33:G33" si="1">SUM(E5:E32)</f>
        <v>25341145</v>
      </c>
      <c r="F33" s="241">
        <f t="shared" si="1"/>
        <v>51726639</v>
      </c>
      <c r="G33" s="241">
        <f t="shared" si="1"/>
        <v>0</v>
      </c>
      <c r="H33" s="45"/>
    </row>
    <row r="34" spans="1:8" x14ac:dyDescent="0.35">
      <c r="A34" s="363"/>
      <c r="B34" s="364"/>
      <c r="C34" s="364"/>
      <c r="D34" s="364"/>
      <c r="E34" s="364"/>
      <c r="F34" s="364"/>
      <c r="G34" s="365"/>
      <c r="H34" s="45"/>
    </row>
    <row r="35" spans="1:8" x14ac:dyDescent="0.35">
      <c r="A35" s="45"/>
      <c r="B35" s="75" t="str">
        <f>bpjs!B39</f>
        <v>Kuasa Pengguna Anggaran</v>
      </c>
      <c r="C35" s="110"/>
      <c r="D35" s="111"/>
      <c r="E35" s="112"/>
      <c r="F35" s="209" t="str">
        <f>bpjs!Q39</f>
        <v>Pangkalan Baru,        Agustus 2026</v>
      </c>
      <c r="H35" s="45"/>
    </row>
    <row r="36" spans="1:8" x14ac:dyDescent="0.35">
      <c r="A36" s="59"/>
      <c r="B36" s="75" t="str">
        <f>bpjs!B40</f>
        <v>Cabang Dinas Pendidikan Wilayah I</v>
      </c>
      <c r="C36" s="110"/>
      <c r="D36" s="115"/>
      <c r="E36" s="115"/>
      <c r="F36" s="209" t="s">
        <v>57</v>
      </c>
      <c r="H36" s="59"/>
    </row>
    <row r="37" spans="1:8" ht="15.5" x14ac:dyDescent="0.35">
      <c r="A37" s="59"/>
      <c r="B37" s="75" t="str">
        <f>bpjs!B41</f>
        <v>Provinsi Kepulauan Bangka Belitung</v>
      </c>
      <c r="C37" s="110"/>
      <c r="D37" s="116"/>
      <c r="E37" s="115"/>
      <c r="F37" s="127"/>
      <c r="G37" s="126"/>
      <c r="H37" s="59"/>
    </row>
    <row r="38" spans="1:8" x14ac:dyDescent="0.35">
      <c r="A38" s="59"/>
      <c r="B38" s="94"/>
      <c r="C38" s="110"/>
      <c r="D38" s="115"/>
      <c r="E38" s="115"/>
      <c r="F38" s="127"/>
      <c r="G38" s="126"/>
      <c r="H38" s="59"/>
    </row>
    <row r="39" spans="1:8" x14ac:dyDescent="0.35">
      <c r="A39" s="59"/>
      <c r="B39" s="94"/>
      <c r="C39" s="110"/>
      <c r="D39" s="111"/>
      <c r="E39" s="115"/>
      <c r="F39" s="127"/>
      <c r="G39" s="126"/>
      <c r="H39" s="59"/>
    </row>
    <row r="40" spans="1:8" ht="15.5" x14ac:dyDescent="0.35">
      <c r="A40" s="59"/>
      <c r="B40" s="117"/>
      <c r="C40" s="118"/>
      <c r="D40" s="119"/>
      <c r="E40" s="120"/>
      <c r="F40" s="128"/>
      <c r="G40" s="129"/>
      <c r="H40" s="59"/>
    </row>
    <row r="41" spans="1:8" x14ac:dyDescent="0.35">
      <c r="A41" s="59"/>
      <c r="B41" s="117"/>
      <c r="C41" s="121"/>
      <c r="D41" s="115"/>
      <c r="E41" s="115"/>
      <c r="F41" s="130"/>
      <c r="G41" s="130"/>
      <c r="H41" s="59"/>
    </row>
    <row r="42" spans="1:8" x14ac:dyDescent="0.35">
      <c r="A42" s="59"/>
      <c r="B42" s="122" t="s">
        <v>25</v>
      </c>
      <c r="C42" s="113"/>
      <c r="D42" s="115"/>
      <c r="E42" s="115"/>
      <c r="F42" s="366" t="s">
        <v>58</v>
      </c>
      <c r="G42" s="360"/>
      <c r="H42" s="59"/>
    </row>
    <row r="43" spans="1:8" x14ac:dyDescent="0.35">
      <c r="A43" s="59"/>
      <c r="B43" s="210" t="s">
        <v>26</v>
      </c>
      <c r="C43" s="123"/>
      <c r="D43" s="115"/>
      <c r="E43" s="115"/>
      <c r="F43" s="359" t="s">
        <v>59</v>
      </c>
      <c r="G43" s="360"/>
      <c r="H43" s="59"/>
    </row>
    <row r="44" spans="1:8" x14ac:dyDescent="0.35">
      <c r="A44" s="124"/>
      <c r="B44" s="94"/>
      <c r="C44" s="110"/>
      <c r="D44" s="113"/>
      <c r="E44" s="113"/>
      <c r="F44" s="114"/>
      <c r="G44" s="115"/>
      <c r="H44" s="59"/>
    </row>
    <row r="45" spans="1:8" x14ac:dyDescent="0.35">
      <c r="A45" s="59"/>
      <c r="B45" s="94"/>
      <c r="C45" s="110"/>
      <c r="D45" s="113"/>
      <c r="E45" s="113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122"/>
      <c r="C47" s="113"/>
      <c r="D47" s="115"/>
      <c r="E47" s="115"/>
      <c r="F47" s="121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  <row r="1008" spans="1:8" x14ac:dyDescent="0.35">
      <c r="A1008" s="59"/>
      <c r="B1008" s="59"/>
      <c r="C1008" s="115"/>
      <c r="D1008" s="115"/>
      <c r="E1008" s="115"/>
      <c r="F1008" s="125"/>
      <c r="G1008" s="115"/>
      <c r="H1008" s="59"/>
    </row>
  </sheetData>
  <mergeCells count="4">
    <mergeCell ref="F43:G43"/>
    <mergeCell ref="A33:B33"/>
    <mergeCell ref="A34:G34"/>
    <mergeCell ref="F42:G42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2"/>
  <sheetViews>
    <sheetView showGridLines="0" topLeftCell="B18" zoomScale="55" zoomScaleNormal="55" zoomScaleSheetLayoutView="55" workbookViewId="0">
      <selection activeCell="F12" sqref="F12:F39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43" t="s">
        <v>1</v>
      </c>
      <c r="B5" s="343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43" t="s">
        <v>2</v>
      </c>
      <c r="B6" s="343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43" t="s">
        <v>3</v>
      </c>
      <c r="B7" s="343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3" t="s">
        <v>30</v>
      </c>
      <c r="B9" s="374" t="s">
        <v>5</v>
      </c>
      <c r="C9" s="374" t="s">
        <v>6</v>
      </c>
      <c r="D9" s="379" t="s">
        <v>31</v>
      </c>
      <c r="E9" s="370" t="s">
        <v>32</v>
      </c>
      <c r="F9" s="382" t="s">
        <v>33</v>
      </c>
      <c r="G9" s="367" t="s">
        <v>34</v>
      </c>
      <c r="H9" s="368"/>
      <c r="I9" s="368"/>
      <c r="J9" s="369"/>
      <c r="K9" s="373" t="s">
        <v>35</v>
      </c>
      <c r="L9" s="370" t="s">
        <v>18</v>
      </c>
      <c r="M9" s="370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1"/>
      <c r="B10" s="371"/>
      <c r="C10" s="371"/>
      <c r="D10" s="380"/>
      <c r="E10" s="371"/>
      <c r="F10" s="371"/>
      <c r="G10" s="375" t="s">
        <v>37</v>
      </c>
      <c r="H10" s="377" t="s">
        <v>38</v>
      </c>
      <c r="I10" s="377" t="s">
        <v>39</v>
      </c>
      <c r="J10" s="378" t="s">
        <v>40</v>
      </c>
      <c r="K10" s="371"/>
      <c r="L10" s="371"/>
      <c r="M10" s="371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2"/>
      <c r="B11" s="372"/>
      <c r="C11" s="372"/>
      <c r="D11" s="381"/>
      <c r="E11" s="372"/>
      <c r="F11" s="372"/>
      <c r="G11" s="376"/>
      <c r="H11" s="372"/>
      <c r="I11" s="372"/>
      <c r="J11" s="372"/>
      <c r="K11" s="372"/>
      <c r="L11" s="372"/>
      <c r="M11" s="372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8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1513655</v>
      </c>
      <c r="H13" s="188">
        <v>0</v>
      </c>
      <c r="I13" s="221">
        <v>1</v>
      </c>
      <c r="J13" s="188">
        <f t="shared" ref="J13:J28" si="1">G13*I13</f>
        <v>1513655</v>
      </c>
      <c r="K13" s="188"/>
      <c r="L13" s="188">
        <f t="shared" ref="L13:L28" si="2">J13-K13</f>
        <v>1513655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1600379</v>
      </c>
      <c r="H14" s="188">
        <v>0</v>
      </c>
      <c r="I14" s="221">
        <v>1</v>
      </c>
      <c r="J14" s="188">
        <f t="shared" si="1"/>
        <v>1600379</v>
      </c>
      <c r="K14" s="188"/>
      <c r="L14" s="188">
        <f t="shared" si="2"/>
        <v>1600379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1515432</v>
      </c>
      <c r="H15" s="188">
        <v>0</v>
      </c>
      <c r="I15" s="221">
        <v>1</v>
      </c>
      <c r="J15" s="188">
        <f t="shared" si="1"/>
        <v>1515432</v>
      </c>
      <c r="K15" s="188"/>
      <c r="L15" s="188">
        <f t="shared" si="2"/>
        <v>1515432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1647669</v>
      </c>
      <c r="H18" s="188">
        <v>0</v>
      </c>
      <c r="I18" s="221">
        <v>1</v>
      </c>
      <c r="J18" s="188">
        <f t="shared" si="1"/>
        <v>1647669</v>
      </c>
      <c r="K18" s="188"/>
      <c r="L18" s="188">
        <f t="shared" si="2"/>
        <v>1647669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1567464</v>
      </c>
      <c r="H19" s="188">
        <v>0</v>
      </c>
      <c r="I19" s="221">
        <v>1</v>
      </c>
      <c r="J19" s="188">
        <f t="shared" si="1"/>
        <v>1567464</v>
      </c>
      <c r="K19" s="188"/>
      <c r="L19" s="188">
        <f t="shared" si="2"/>
        <v>1567464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1548184</v>
      </c>
      <c r="H22" s="188">
        <v>0</v>
      </c>
      <c r="I22" s="221">
        <v>1</v>
      </c>
      <c r="J22" s="188">
        <f t="shared" si="1"/>
        <v>1548184</v>
      </c>
      <c r="K22" s="188"/>
      <c r="L22" s="188">
        <f t="shared" si="2"/>
        <v>1548184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1835553</v>
      </c>
      <c r="H23" s="188">
        <v>0</v>
      </c>
      <c r="I23" s="221">
        <v>1</v>
      </c>
      <c r="J23" s="188">
        <f t="shared" si="1"/>
        <v>1835553</v>
      </c>
      <c r="K23" s="188"/>
      <c r="L23" s="188">
        <f t="shared" si="2"/>
        <v>1835553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1526814</v>
      </c>
      <c r="H24" s="188">
        <v>0</v>
      </c>
      <c r="I24" s="221">
        <v>1</v>
      </c>
      <c r="J24" s="188">
        <f t="shared" si="1"/>
        <v>1526814</v>
      </c>
      <c r="K24" s="188"/>
      <c r="L24" s="188">
        <f t="shared" si="2"/>
        <v>1526814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1591041</v>
      </c>
      <c r="H26" s="188">
        <v>0</v>
      </c>
      <c r="I26" s="221">
        <v>1</v>
      </c>
      <c r="J26" s="188">
        <f t="shared" si="1"/>
        <v>1591041</v>
      </c>
      <c r="K26" s="188"/>
      <c r="L26" s="188">
        <f t="shared" si="2"/>
        <v>1591041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ht="28" x14ac:dyDescent="0.35">
      <c r="A28" s="220" t="s">
        <v>110</v>
      </c>
      <c r="B28" s="11" t="str">
        <f>bpjs!B25</f>
        <v>LUQMAN SYARIEF
NIP.198010042010011016</v>
      </c>
      <c r="C28" s="12" t="str">
        <f t="shared" si="0"/>
        <v>198010042010011016</v>
      </c>
      <c r="D28" s="13" t="str">
        <f>bpjs!F25</f>
        <v>NIP tidak ditemukan</v>
      </c>
      <c r="E28" s="14" t="str">
        <f>bpjs!E25</f>
        <v>NIP tidak ditemukan</v>
      </c>
      <c r="F28" s="13" t="str">
        <f>IFERROR(INDEX(rekap_tpp[], MATCH(MID(B28, FIND("NIP.", B28) + 4, LEN(B28)), INDEX(rekap_tpp[], 0, 8), 0), 4), "NIP tidak ditemukan")</f>
        <v>NIP tidak ditemukan</v>
      </c>
      <c r="G28" s="187" t="e">
        <f>bpjs!H25-bpjs!I25</f>
        <v>#VALUE!</v>
      </c>
      <c r="H28" s="188">
        <v>0</v>
      </c>
      <c r="I28" s="221">
        <v>1</v>
      </c>
      <c r="J28" s="188" t="e">
        <f t="shared" si="1"/>
        <v>#VALUE!</v>
      </c>
      <c r="K28" s="188"/>
      <c r="L28" s="188" t="e">
        <f t="shared" si="2"/>
        <v>#VALUE!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47</v>
      </c>
      <c r="B29" s="11" t="str">
        <f>bpjs!B26</f>
        <v>MARHAYSON
NIP.198803192014021001</v>
      </c>
      <c r="C29" s="12" t="str">
        <f t="shared" ref="C29:C39" si="3">RIGHT(B29,18)</f>
        <v>198803192014021001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ref="J29:J39" si="4">G29*I29</f>
        <v>1626000</v>
      </c>
      <c r="K29" s="188"/>
      <c r="L29" s="188">
        <f t="shared" ref="L29:L39" si="5">J29-K29</f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48</v>
      </c>
      <c r="B30" s="11" t="str">
        <f>bpjs!B27</f>
        <v>MARLIYANTI
NIP.198502272009032001</v>
      </c>
      <c r="C30" s="12" t="str">
        <f t="shared" si="3"/>
        <v>198502272009032001</v>
      </c>
      <c r="D30" s="13" t="str">
        <f>bpjs!F27</f>
        <v>III/d</v>
      </c>
      <c r="E30" s="14" t="str">
        <f>bpjs!E27</f>
        <v>Guru Muda</v>
      </c>
      <c r="F30" s="13">
        <f>IFERROR(INDEX(rekap_tpp[], MATCH(MID(B30, FIND("NIP.", B30) + 4, LEN(B30)), INDEX(rekap_tpp[], 0, 8), 0), 4), "NIP tidak ditemukan")</f>
        <v>9</v>
      </c>
      <c r="G30" s="187">
        <f>bpjs!H27-bpjs!I27</f>
        <v>1421124</v>
      </c>
      <c r="H30" s="188">
        <v>0</v>
      </c>
      <c r="I30" s="221">
        <v>1</v>
      </c>
      <c r="J30" s="188">
        <f t="shared" si="4"/>
        <v>1421124</v>
      </c>
      <c r="K30" s="188"/>
      <c r="L30" s="188">
        <f t="shared" si="5"/>
        <v>1421124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49</v>
      </c>
      <c r="B31" s="11" t="str">
        <f>bpjs!B28</f>
        <v>MARNI
NIP.197907062006042016</v>
      </c>
      <c r="C31" s="12" t="str">
        <f t="shared" si="3"/>
        <v>197907062006042016</v>
      </c>
      <c r="D31" s="13" t="str">
        <f>bpjs!F28</f>
        <v>III/b</v>
      </c>
      <c r="E31" s="14" t="str">
        <f>bpjs!E28</f>
        <v>Penelaah Teknis Kebijakan</v>
      </c>
      <c r="F31" s="13">
        <f>IFERROR(INDEX(rekap_tpp[], MATCH(MID(B31, FIND("NIP.", B31) + 4, LEN(B31)), INDEX(rekap_tpp[], 0, 8), 0), 4), "NIP tidak ditemukan")</f>
        <v>7</v>
      </c>
      <c r="G31" s="187">
        <f>bpjs!H28-bpjs!I28</f>
        <v>2450973</v>
      </c>
      <c r="H31" s="188">
        <v>0</v>
      </c>
      <c r="I31" s="221">
        <v>1</v>
      </c>
      <c r="J31" s="188">
        <f t="shared" si="4"/>
        <v>2450973</v>
      </c>
      <c r="K31" s="188"/>
      <c r="L31" s="188">
        <f t="shared" si="5"/>
        <v>2450973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50</v>
      </c>
      <c r="B32" s="11" t="str">
        <f>bpjs!B29</f>
        <v>NURWAZATTI ESA
NIP.198611132010012005</v>
      </c>
      <c r="C32" s="12" t="str">
        <f t="shared" si="3"/>
        <v>198611132010012005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1532505</v>
      </c>
      <c r="H32" s="188">
        <v>0</v>
      </c>
      <c r="I32" s="221">
        <v>1</v>
      </c>
      <c r="J32" s="188">
        <f t="shared" si="4"/>
        <v>1532505</v>
      </c>
      <c r="K32" s="188"/>
      <c r="L32" s="188">
        <f t="shared" si="5"/>
        <v>1532505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51</v>
      </c>
      <c r="B33" s="11" t="str">
        <f>bpjs!B30</f>
        <v>PADILAWATI
NIP.197902192010012005</v>
      </c>
      <c r="C33" s="12" t="str">
        <f t="shared" si="3"/>
        <v>197902192010012005</v>
      </c>
      <c r="D33" s="13" t="str">
        <f>bpjs!F30</f>
        <v>III/d</v>
      </c>
      <c r="E33" s="14" t="str">
        <f>bpjs!E30</f>
        <v>Guru Muda</v>
      </c>
      <c r="F33" s="13">
        <f>IFERROR(INDEX(rekap_tpp[], MATCH(MID(B33, FIND("NIP.", B33) + 4, LEN(B33)), INDEX(rekap_tpp[], 0, 8), 0), 4), "NIP tidak ditemukan")</f>
        <v>9</v>
      </c>
      <c r="G33" s="187">
        <f>bpjs!H30-bpjs!I30</f>
        <v>1626000</v>
      </c>
      <c r="H33" s="188">
        <v>0</v>
      </c>
      <c r="I33" s="221">
        <v>1</v>
      </c>
      <c r="J33" s="188">
        <f t="shared" si="4"/>
        <v>1626000</v>
      </c>
      <c r="K33" s="188"/>
      <c r="L33" s="188">
        <f t="shared" si="5"/>
        <v>1626000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52</v>
      </c>
      <c r="B34" s="11" t="str">
        <f>bpjs!B31</f>
        <v>RIZALDI
NIP.197608312006041006</v>
      </c>
      <c r="C34" s="12" t="str">
        <f t="shared" si="3"/>
        <v>197608312006041006</v>
      </c>
      <c r="D34" s="13" t="str">
        <f>bpjs!F31</f>
        <v>IV/a</v>
      </c>
      <c r="E34" s="14" t="str">
        <f>bpjs!E31</f>
        <v>Guru Ahli Madya</v>
      </c>
      <c r="F34" s="13">
        <f>IFERROR(INDEX(rekap_tpp[], MATCH(MID(B34, FIND("NIP.", B34) + 4, LEN(B34)), INDEX(rekap_tpp[], 0, 8), 0), 4), "NIP tidak ditemukan")</f>
        <v>11</v>
      </c>
      <c r="G34" s="187">
        <f>bpjs!H31-bpjs!I31</f>
        <v>1802397</v>
      </c>
      <c r="H34" s="188">
        <v>0</v>
      </c>
      <c r="I34" s="221">
        <v>1</v>
      </c>
      <c r="J34" s="188">
        <f t="shared" si="4"/>
        <v>1802397</v>
      </c>
      <c r="K34" s="188"/>
      <c r="L34" s="188">
        <f t="shared" si="5"/>
        <v>1802397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111</v>
      </c>
      <c r="B35" s="11" t="str">
        <f>bpjs!B32</f>
        <v>SRI HANDAYANI
NIP.198112102009032002</v>
      </c>
      <c r="C35" s="12" t="str">
        <f t="shared" si="3"/>
        <v>198112102009032002</v>
      </c>
      <c r="D35" s="13" t="str">
        <f>bpjs!F32</f>
        <v>III/d</v>
      </c>
      <c r="E35" s="14" t="str">
        <f>bpjs!E32</f>
        <v>Guru Muda</v>
      </c>
      <c r="F35" s="13">
        <f>IFERROR(INDEX(rekap_tpp[], MATCH(MID(B35, FIND("NIP.", B35) + 4, LEN(B35)), INDEX(rekap_tpp[], 0, 8), 0), 4), "NIP tidak ditemukan")</f>
        <v>9</v>
      </c>
      <c r="G35" s="187">
        <f>bpjs!H32-bpjs!I32</f>
        <v>1614618</v>
      </c>
      <c r="H35" s="188">
        <v>0</v>
      </c>
      <c r="I35" s="221">
        <v>1</v>
      </c>
      <c r="J35" s="188">
        <f t="shared" si="4"/>
        <v>1614618</v>
      </c>
      <c r="K35" s="188"/>
      <c r="L35" s="188">
        <f t="shared" si="5"/>
        <v>1614618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53</v>
      </c>
      <c r="B36" s="11" t="str">
        <f>bpjs!B33</f>
        <v>SYAHRYANTO
NIP.197708262006041005</v>
      </c>
      <c r="C36" s="12" t="str">
        <f t="shared" si="3"/>
        <v>197708262006041005</v>
      </c>
      <c r="D36" s="13" t="str">
        <f>bpjs!F33</f>
        <v>IV/b</v>
      </c>
      <c r="E36" s="14" t="str">
        <f>bpjs!E33</f>
        <v>Kepala Sekolah SMKN 1 Koba Bangka Tengah</v>
      </c>
      <c r="F36" s="13">
        <f>IFERROR(INDEX(rekap_tpp[], MATCH(MID(B36, FIND("NIP.", B36) + 4, LEN(B36)), INDEX(rekap_tpp[], 0, 8), 0), 4), "NIP tidak ditemukan")</f>
        <v>11</v>
      </c>
      <c r="G36" s="187">
        <f>bpjs!H33-bpjs!I33</f>
        <v>4075548</v>
      </c>
      <c r="H36" s="188">
        <v>0</v>
      </c>
      <c r="I36" s="221">
        <v>1</v>
      </c>
      <c r="J36" s="188">
        <f t="shared" si="4"/>
        <v>4075548</v>
      </c>
      <c r="K36" s="188"/>
      <c r="L36" s="188">
        <f t="shared" si="5"/>
        <v>4075548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54</v>
      </c>
      <c r="B37" s="11" t="str">
        <f>bpjs!B34</f>
        <v>SYAMSIAH
NIP.197009032009032001</v>
      </c>
      <c r="C37" s="12" t="str">
        <f t="shared" si="3"/>
        <v>197009032009032001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55</v>
      </c>
      <c r="B38" s="11" t="str">
        <f>bpjs!B35</f>
        <v>TOTOK SUPRIJADI
NIP.197505042010011017</v>
      </c>
      <c r="C38" s="12" t="str">
        <f t="shared" si="3"/>
        <v>197505042010011017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1556082</v>
      </c>
      <c r="H38" s="188">
        <v>0</v>
      </c>
      <c r="I38" s="221">
        <v>1</v>
      </c>
      <c r="J38" s="188">
        <f t="shared" si="4"/>
        <v>1556082</v>
      </c>
      <c r="K38" s="188"/>
      <c r="L38" s="188">
        <f t="shared" si="5"/>
        <v>1556082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183" customFormat="1" ht="28" x14ac:dyDescent="0.35">
      <c r="A39" s="220" t="s">
        <v>56</v>
      </c>
      <c r="B39" s="11" t="str">
        <f>bpjs!B36</f>
        <v>YOPA AGUSTINA
NIP.198008292009032001</v>
      </c>
      <c r="C39" s="12" t="str">
        <f t="shared" si="3"/>
        <v>198008292009032001</v>
      </c>
      <c r="D39" s="13" t="str">
        <f>bpjs!F36</f>
        <v>III/d</v>
      </c>
      <c r="E39" s="14" t="str">
        <f>bpjs!E36</f>
        <v>Guru Muda</v>
      </c>
      <c r="F39" s="13">
        <f>IFERROR(INDEX(rekap_tpp[], MATCH(MID(B39, FIND("NIP.", B39) + 4, LEN(B39)), INDEX(rekap_tpp[], 0, 8), 0), 4), "NIP tidak ditemukan")</f>
        <v>9</v>
      </c>
      <c r="G39" s="187">
        <f>bpjs!H36-bpjs!I36</f>
        <v>1620309</v>
      </c>
      <c r="H39" s="188">
        <v>0</v>
      </c>
      <c r="I39" s="221">
        <v>1</v>
      </c>
      <c r="J39" s="188">
        <f t="shared" si="4"/>
        <v>1620309</v>
      </c>
      <c r="K39" s="188"/>
      <c r="L39" s="188">
        <f t="shared" si="5"/>
        <v>1620309</v>
      </c>
      <c r="M39" s="15" t="str">
        <f>bpjs!S36</f>
        <v>SMK NEGERI 1 KOBA</v>
      </c>
      <c r="N39" s="4"/>
      <c r="O39" s="4"/>
      <c r="P39" s="4"/>
      <c r="Q39" s="4"/>
      <c r="R39" s="4"/>
      <c r="S39" s="4"/>
      <c r="T39" s="4"/>
      <c r="U39" s="4"/>
    </row>
    <row r="40" spans="1:21" s="27" customFormat="1" ht="26.5" customHeight="1" x14ac:dyDescent="0.35">
      <c r="A40" s="242"/>
      <c r="B40" s="242"/>
      <c r="C40" s="243"/>
      <c r="D40" s="243"/>
      <c r="E40" s="243"/>
      <c r="F40" s="244"/>
      <c r="G40" s="245" t="e">
        <f>SUM(G12:G39)</f>
        <v>#VALUE!</v>
      </c>
      <c r="H40" s="245">
        <f t="shared" ref="H40:L40" si="6">SUM(H12:H39)</f>
        <v>0</v>
      </c>
      <c r="I40" s="246"/>
      <c r="J40" s="245" t="e">
        <f t="shared" si="6"/>
        <v>#VALUE!</v>
      </c>
      <c r="K40" s="245">
        <f t="shared" si="6"/>
        <v>0</v>
      </c>
      <c r="L40" s="245" t="e">
        <f t="shared" si="6"/>
        <v>#VALUE!</v>
      </c>
      <c r="M40" s="247"/>
      <c r="N40" s="186"/>
      <c r="O40" s="186"/>
      <c r="P40" s="186"/>
      <c r="Q40" s="186"/>
      <c r="R40" s="186"/>
      <c r="S40" s="186"/>
      <c r="T40" s="186"/>
      <c r="U40" s="186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/>
      <c r="C42" s="25"/>
      <c r="D42" s="3"/>
      <c r="E42" s="25"/>
      <c r="F42" s="2"/>
      <c r="G42" s="17"/>
      <c r="H42" s="19"/>
      <c r="I42" s="19"/>
      <c r="J42" s="19"/>
      <c r="K42" s="19"/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Kuasa Pengguna Anggaran</v>
      </c>
      <c r="C43" s="25"/>
      <c r="D43" s="3"/>
      <c r="E43" s="25"/>
      <c r="F43" s="2"/>
      <c r="G43" s="17"/>
      <c r="H43" s="19"/>
      <c r="I43" s="19"/>
      <c r="J43" s="19"/>
      <c r="K43" s="170" t="str">
        <f>'rekap nominatif etukin'!F35</f>
        <v>Pangkalan Baru,        Agustus 2026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Cabang Dinas Pendidikan Wilayah I</v>
      </c>
      <c r="C44" s="25"/>
      <c r="D44" s="3"/>
      <c r="E44" s="25"/>
      <c r="F44" s="2"/>
      <c r="G44" s="17"/>
      <c r="H44" s="19"/>
      <c r="I44" s="19"/>
      <c r="J44" s="19"/>
      <c r="K44" s="19" t="s">
        <v>57</v>
      </c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 t="str">
        <f>'rekap nominatif etukin'!B37</f>
        <v>Provinsi Kepulauan Bangka Belitung</v>
      </c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x14ac:dyDescent="0.35">
      <c r="A48" s="19"/>
      <c r="B48" s="25"/>
      <c r="C48" s="25"/>
      <c r="D48" s="3"/>
      <c r="E48" s="25"/>
      <c r="F48" s="2"/>
      <c r="G48" s="17"/>
      <c r="H48" s="19"/>
      <c r="I48" s="19"/>
      <c r="J48" s="19"/>
      <c r="K48" s="19"/>
      <c r="L48" s="19"/>
      <c r="M48" s="2"/>
      <c r="N48" s="2"/>
      <c r="O48" s="2"/>
      <c r="P48" s="2"/>
      <c r="Q48" s="2"/>
      <c r="R48" s="2"/>
      <c r="S48" s="2"/>
      <c r="T48" s="2"/>
      <c r="U48" s="2"/>
    </row>
    <row r="49" spans="1:21" s="27" customFormat="1" x14ac:dyDescent="0.35">
      <c r="A49" s="133"/>
      <c r="B49" s="134" t="s">
        <v>25</v>
      </c>
      <c r="C49" s="134"/>
      <c r="D49" s="26"/>
      <c r="E49" s="134"/>
      <c r="F49" s="135"/>
      <c r="G49" s="136"/>
      <c r="H49" s="133"/>
      <c r="I49" s="133"/>
      <c r="J49" s="133"/>
      <c r="K49" s="133" t="s">
        <v>58</v>
      </c>
      <c r="L49" s="133"/>
      <c r="M49" s="135"/>
      <c r="N49" s="135"/>
      <c r="O49" s="135"/>
      <c r="P49" s="135"/>
      <c r="Q49" s="135"/>
      <c r="R49" s="135"/>
      <c r="S49" s="135"/>
      <c r="T49" s="135"/>
      <c r="U49" s="135"/>
    </row>
    <row r="50" spans="1:21" x14ac:dyDescent="0.35">
      <c r="A50" s="19"/>
      <c r="B50" s="25" t="s">
        <v>26</v>
      </c>
      <c r="C50" s="25"/>
      <c r="D50" s="3"/>
      <c r="E50" s="25"/>
      <c r="F50" s="2"/>
      <c r="G50" s="17"/>
      <c r="H50" s="19"/>
      <c r="I50" s="19"/>
      <c r="J50" s="19"/>
      <c r="K50" s="19" t="s">
        <v>59</v>
      </c>
      <c r="L50" s="19"/>
      <c r="M50" s="2"/>
      <c r="N50" s="2"/>
      <c r="O50" s="2"/>
      <c r="P50" s="2"/>
      <c r="Q50" s="2"/>
      <c r="R50" s="2"/>
      <c r="S50" s="2"/>
      <c r="T50" s="2"/>
      <c r="U50" s="2"/>
    </row>
    <row r="51" spans="1:21" ht="18.5" x14ac:dyDescent="0.35">
      <c r="A51" s="3"/>
      <c r="B51" s="5"/>
      <c r="C51" s="5"/>
      <c r="D51" s="18"/>
      <c r="E51" s="20"/>
      <c r="F51" s="21"/>
      <c r="G51" s="22"/>
      <c r="H51" s="18"/>
      <c r="I51" s="19"/>
      <c r="J51" s="23"/>
      <c r="K51" s="24"/>
      <c r="L51" s="3"/>
      <c r="M51" s="16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3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4"/>
      <c r="O54" s="4"/>
      <c r="P54" s="4"/>
      <c r="Q54" s="4"/>
      <c r="R54" s="4"/>
      <c r="S54" s="4"/>
      <c r="T54" s="4"/>
      <c r="U54" s="4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  <row r="1012" spans="1:21" x14ac:dyDescent="0.35">
      <c r="A1012" s="19"/>
      <c r="B1012" s="25"/>
      <c r="C1012" s="25"/>
      <c r="D1012" s="3"/>
      <c r="E1012" s="25"/>
      <c r="F1012" s="2"/>
      <c r="G1012" s="17"/>
      <c r="H1012" s="19"/>
      <c r="I1012" s="19"/>
      <c r="J1012" s="19"/>
      <c r="K1012" s="19"/>
      <c r="L1012" s="19"/>
      <c r="M1012" s="2"/>
      <c r="N1012" s="2"/>
      <c r="O1012" s="2"/>
      <c r="P1012" s="2"/>
      <c r="Q1012" s="2"/>
      <c r="R1012" s="2"/>
      <c r="S1012" s="2"/>
      <c r="T1012" s="2"/>
      <c r="U1012" s="2"/>
    </row>
  </sheetData>
  <mergeCells count="17"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A5:B5"/>
    <mergeCell ref="A6:B6"/>
    <mergeCell ref="A7:B7"/>
    <mergeCell ref="G9:J9"/>
    <mergeCell ref="L9:L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 t="e">
        <f>'daftar nominatif'!G40</f>
        <v>#VALUE!</v>
      </c>
      <c r="D8" s="224">
        <f>bpjs!O37</f>
        <v>0</v>
      </c>
      <c r="E8" s="224" t="e">
        <f>bpjs!M37</f>
        <v>#VALUE!</v>
      </c>
      <c r="F8" s="224" t="e">
        <f>bpjs!L37</f>
        <v>#VALUE!</v>
      </c>
      <c r="G8" s="224" t="e">
        <f>C8-D8-E8</f>
        <v>#VALUE!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 t="e">
        <f t="shared" ref="C9:L9" si="0">SUM(C8)</f>
        <v>#VALUE!</v>
      </c>
      <c r="D9" s="225">
        <f t="shared" si="0"/>
        <v>0</v>
      </c>
      <c r="E9" s="225" t="e">
        <f t="shared" si="0"/>
        <v>#VALUE!</v>
      </c>
      <c r="F9" s="225" t="e">
        <f t="shared" si="0"/>
        <v>#VALUE!</v>
      </c>
      <c r="G9" s="225" t="e">
        <f t="shared" si="0"/>
        <v>#VALUE!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nominatif'!B43</f>
        <v>Kuasa Pengguna Anggaran</v>
      </c>
      <c r="C12" s="75"/>
      <c r="D12" s="76"/>
      <c r="E12" s="76"/>
      <c r="F12" s="76"/>
      <c r="H12" s="78"/>
      <c r="I12" s="171" t="str">
        <f>'daftar nominatif'!K43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nominatif'!B44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nominatif'!B45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7"/>
  <sheetViews>
    <sheetView showGridLines="0" view="pageBreakPreview" topLeftCell="B15" zoomScale="55" zoomScaleNormal="55" zoomScaleSheetLayoutView="55" workbookViewId="0">
      <selection activeCell="J37" sqref="J37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32), "NIP tidak ditemukan")</f>
        <v>1610102532</v>
      </c>
      <c r="I8" s="168">
        <v>0</v>
      </c>
      <c r="J8" s="169">
        <f>E8-F8-G8-H8-I8</f>
        <v>-1608492792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5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1497595</v>
      </c>
      <c r="F9" s="167"/>
      <c r="G9" s="168"/>
      <c r="H9" s="168">
        <f>IFERROR(INDEX(rekap_tpp[], MATCH(MID(B9, FIND("NIP.", B9) + 4, LEN(B9)), INDEX(rekap_tpp[], 0, 8), 0), 32), "NIP tidak ditemukan")</f>
        <v>16109001439</v>
      </c>
      <c r="I9" s="168">
        <v>0</v>
      </c>
      <c r="J9" s="169">
        <f t="shared" ref="J9:J35" si="1">E9-F9-G9-H9-I9</f>
        <v>-16107503844</v>
      </c>
      <c r="K9" s="168">
        <f t="shared" ref="K9:K35" si="2">E9-F9-G9-I9</f>
        <v>1497595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1584319</v>
      </c>
      <c r="F10" s="167"/>
      <c r="G10" s="168"/>
      <c r="H10" s="168">
        <f>IFERROR(INDEX(rekap_tpp[], MATCH(MID(B10, FIND("NIP.", B10) + 4, LEN(B10)), INDEX(rekap_tpp[], 0, 8), 0), 32), "NIP tidak ditemukan")</f>
        <v>15509001575</v>
      </c>
      <c r="I10" s="168">
        <v>0</v>
      </c>
      <c r="J10" s="169">
        <f t="shared" si="1"/>
        <v>-15507417256</v>
      </c>
      <c r="K10" s="168">
        <f t="shared" si="2"/>
        <v>1584319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1499172</v>
      </c>
      <c r="F11" s="167"/>
      <c r="G11" s="168"/>
      <c r="H11" s="168">
        <f>IFERROR(INDEX(rekap_tpp[], MATCH(MID(B11, FIND("NIP.", B11) + 4, LEN(B11)), INDEX(rekap_tpp[], 0, 8), 0), 32), "NIP tidak ditemukan")</f>
        <v>1610905249</v>
      </c>
      <c r="I11" s="168">
        <v>0</v>
      </c>
      <c r="J11" s="169">
        <f t="shared" si="1"/>
        <v>-1609406077</v>
      </c>
      <c r="K11" s="168">
        <f t="shared" si="2"/>
        <v>1499172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32), "NIP tidak ditemukan")</f>
        <v>1610105556</v>
      </c>
      <c r="I12" s="168">
        <v>0</v>
      </c>
      <c r="J12" s="169">
        <f t="shared" si="1"/>
        <v>-1608501507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32), "NIP tidak ditemukan")</f>
        <v>1610107829</v>
      </c>
      <c r="I13" s="168">
        <v>0</v>
      </c>
      <c r="J13" s="169">
        <f t="shared" si="1"/>
        <v>-1608498089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1629249</v>
      </c>
      <c r="F14" s="167"/>
      <c r="G14" s="168"/>
      <c r="H14" s="168">
        <f>IFERROR(INDEX(rekap_tpp[], MATCH(MID(B14, FIND("NIP.", B14) + 4, LEN(B14)), INDEX(rekap_tpp[], 0, 8), 0), 32), "NIP tidak ditemukan")</f>
        <v>1610906028</v>
      </c>
      <c r="I14" s="168">
        <v>0</v>
      </c>
      <c r="J14" s="169">
        <f t="shared" si="1"/>
        <v>-1609276779</v>
      </c>
      <c r="K14" s="168">
        <f t="shared" si="2"/>
        <v>1629249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1551204</v>
      </c>
      <c r="F15" s="167"/>
      <c r="G15" s="168"/>
      <c r="H15" s="168">
        <f>IFERROR(INDEX(rekap_tpp[], MATCH(MID(B15, FIND("NIP.", B15) + 4, LEN(B15)), INDEX(rekap_tpp[], 0, 8), 0), 32), "NIP tidak ditemukan")</f>
        <v>1610106971</v>
      </c>
      <c r="I15" s="168">
        <v>0</v>
      </c>
      <c r="J15" s="169">
        <f t="shared" si="1"/>
        <v>-1608555767</v>
      </c>
      <c r="K15" s="168">
        <f t="shared" si="2"/>
        <v>1551204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32), "NIP tidak ditemukan")</f>
        <v>1610106580</v>
      </c>
      <c r="I16" s="168">
        <v>0</v>
      </c>
      <c r="J16" s="169">
        <f t="shared" si="1"/>
        <v>-1608283000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32), "NIP tidak ditemukan")</f>
        <v>1440105481</v>
      </c>
      <c r="I17" s="168">
        <v>0</v>
      </c>
      <c r="J17" s="169">
        <f t="shared" si="1"/>
        <v>-1435409911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1532124</v>
      </c>
      <c r="F18" s="167"/>
      <c r="G18" s="168"/>
      <c r="H18" s="168">
        <f>IFERROR(INDEX(rekap_tpp[], MATCH(MID(B18, FIND("NIP.", B18) + 4, LEN(B18)), INDEX(rekap_tpp[], 0, 8), 0), 32), "NIP tidak ditemukan")</f>
        <v>1460107125</v>
      </c>
      <c r="I18" s="168">
        <v>0</v>
      </c>
      <c r="J18" s="169">
        <f t="shared" si="1"/>
        <v>-1458575001</v>
      </c>
      <c r="K18" s="168">
        <f t="shared" si="2"/>
        <v>1532124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1817133</v>
      </c>
      <c r="F19" s="167"/>
      <c r="G19" s="168"/>
      <c r="H19" s="168">
        <f>IFERROR(INDEX(rekap_tpp[], MATCH(MID(B19, FIND("NIP.", B19) + 4, LEN(B19)), INDEX(rekap_tpp[], 0, 8), 0), 32), "NIP tidak ditemukan")</f>
        <v>1900900969</v>
      </c>
      <c r="I19" s="168">
        <v>0</v>
      </c>
      <c r="J19" s="169">
        <f t="shared" si="1"/>
        <v>-1899083836</v>
      </c>
      <c r="K19" s="168">
        <f t="shared" si="2"/>
        <v>1817133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1510554</v>
      </c>
      <c r="F20" s="167"/>
      <c r="G20" s="168"/>
      <c r="H20" s="168">
        <f>IFERROR(INDEX(rekap_tpp[], MATCH(MID(B20, FIND("NIP.", B20) + 4, LEN(B20)), INDEX(rekap_tpp[], 0, 8), 0), 32), "NIP tidak ditemukan")</f>
        <v>1610901678</v>
      </c>
      <c r="I20" s="168">
        <v>0</v>
      </c>
      <c r="J20" s="169">
        <f t="shared" si="1"/>
        <v>-1609391124</v>
      </c>
      <c r="K20" s="168">
        <f t="shared" si="2"/>
        <v>1510554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32), "NIP tidak ditemukan")</f>
        <v>1610904070</v>
      </c>
      <c r="I21" s="168">
        <v>0</v>
      </c>
      <c r="J21" s="169">
        <f t="shared" si="1"/>
        <v>-1609294330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1574781</v>
      </c>
      <c r="F22" s="167"/>
      <c r="G22" s="168"/>
      <c r="H22" s="168">
        <f>IFERROR(INDEX(rekap_tpp[], MATCH(MID(B22, FIND("NIP.", B22) + 4, LEN(B22)), INDEX(rekap_tpp[], 0, 8), 0), 32), "NIP tidak ditemukan")</f>
        <v>1610105795</v>
      </c>
      <c r="I22" s="168">
        <v>0</v>
      </c>
      <c r="J22" s="169">
        <f t="shared" si="1"/>
        <v>-1608531014</v>
      </c>
      <c r="K22" s="168">
        <f t="shared" si="2"/>
        <v>1574781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32), "NIP tidak ditemukan")</f>
        <v>1610101008</v>
      </c>
      <c r="I23" s="168">
        <v>0</v>
      </c>
      <c r="J23" s="169">
        <f t="shared" si="1"/>
        <v>-1608496959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110</v>
      </c>
      <c r="B24" s="191" t="str">
        <f>'daftar nominatif'!B28</f>
        <v>LUQMAN SYARIEF
NIP.198010042010011016</v>
      </c>
      <c r="C24" s="192" t="str">
        <f t="shared" si="0"/>
        <v>LUQMAN SYARIEF</v>
      </c>
      <c r="D24" s="193" t="str">
        <f>IFERROR(INDEX(rekap_tpp[], MATCH(MID(B24, FIND("NIP.", B24) + 4, LEN(B24)), INDEX(rekap_tpp[], 0, 8), 0), 11), "NIP tidak ditemukan")</f>
        <v>NIP tidak ditemukan</v>
      </c>
      <c r="E24" s="166" t="e">
        <f>bpjs!R25</f>
        <v>#VALUE!</v>
      </c>
      <c r="F24" s="167"/>
      <c r="G24" s="168"/>
      <c r="H24" s="168" t="str">
        <f>IFERROR(INDEX(rekap_tpp[], MATCH(MID(B24, FIND("NIP.", B24) + 4, LEN(B24)), INDEX(rekap_tpp[], 0, 8), 0), 32), "NIP tidak ditemukan")</f>
        <v>NIP tidak ditemukan</v>
      </c>
      <c r="I24" s="168">
        <v>0</v>
      </c>
      <c r="J24" s="169" t="e">
        <f t="shared" si="1"/>
        <v>#VALUE!</v>
      </c>
      <c r="K24" s="168" t="e">
        <f t="shared" si="2"/>
        <v>#VALUE!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ht="31" x14ac:dyDescent="0.35">
      <c r="A25" s="222" t="s">
        <v>47</v>
      </c>
      <c r="B25" s="191" t="str">
        <f>'daftar nominatif'!B29</f>
        <v>MARHAYSON
NIP.198803192014021001</v>
      </c>
      <c r="C25" s="192" t="str">
        <f t="shared" si="0"/>
        <v>MARHAYSON</v>
      </c>
      <c r="D25" s="193">
        <f>IFERROR(INDEX(rekap_tpp[], MATCH(MID(B25, FIND("NIP.", B25) + 4, LEN(B25)), INDEX(rekap_tpp[], 0, 8), 0), 11), "NIP tidak ditemukan")</f>
        <v>1610905245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32), "NIP tidak ditemukan")</f>
        <v>1610905245</v>
      </c>
      <c r="I25" s="168">
        <v>0</v>
      </c>
      <c r="J25" s="169">
        <f t="shared" si="1"/>
        <v>-1609295505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</row>
    <row r="26" spans="1:32" s="182" customFormat="1" ht="31" x14ac:dyDescent="0.35">
      <c r="A26" s="222" t="s">
        <v>48</v>
      </c>
      <c r="B26" s="191" t="str">
        <f>'daftar nominatif'!B30</f>
        <v>MARLIYANTI
NIP.198502272009032001</v>
      </c>
      <c r="C26" s="192" t="str">
        <f t="shared" si="0"/>
        <v>MARLIYANTI</v>
      </c>
      <c r="D26" s="193">
        <f>IFERROR(INDEX(rekap_tpp[], MATCH(MID(B26, FIND("NIP.", B26) + 4, LEN(B26)), INDEX(rekap_tpp[], 0, 8), 0), 11), "NIP tidak ditemukan")</f>
        <v>1610104975</v>
      </c>
      <c r="E26" s="166">
        <f>bpjs!R27</f>
        <v>1404864</v>
      </c>
      <c r="F26" s="167"/>
      <c r="G26" s="168"/>
      <c r="H26" s="168">
        <f>IFERROR(INDEX(rekap_tpp[], MATCH(MID(B26, FIND("NIP.", B26) + 4, LEN(B26)), INDEX(rekap_tpp[], 0, 8), 0), 32), "NIP tidak ditemukan")</f>
        <v>1610104975</v>
      </c>
      <c r="I26" s="168">
        <v>0</v>
      </c>
      <c r="J26" s="169">
        <f t="shared" si="1"/>
        <v>-1608700111</v>
      </c>
      <c r="K26" s="168">
        <f t="shared" si="2"/>
        <v>1404864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49</v>
      </c>
      <c r="B27" s="191" t="str">
        <f>'daftar nominatif'!B31</f>
        <v>MARNI
NIP.197907062006042016</v>
      </c>
      <c r="C27" s="192" t="str">
        <f t="shared" si="0"/>
        <v>MARNI</v>
      </c>
      <c r="D27" s="193">
        <f>IFERROR(INDEX(rekap_tpp[], MATCH(MID(B27, FIND("NIP.", B27) + 4, LEN(B27)), INDEX(rekap_tpp[], 0, 8), 0), 11), "NIP tidak ditemukan")</f>
        <v>1610103820</v>
      </c>
      <c r="E27" s="166">
        <f>bpjs!R28</f>
        <v>2424303</v>
      </c>
      <c r="F27" s="167"/>
      <c r="G27" s="168"/>
      <c r="H27" s="168">
        <f>IFERROR(INDEX(rekap_tpp[], MATCH(MID(B27, FIND("NIP.", B27) + 4, LEN(B27)), INDEX(rekap_tpp[], 0, 8), 0), 32), "NIP tidak ditemukan")</f>
        <v>1610103820</v>
      </c>
      <c r="I27" s="168">
        <v>0</v>
      </c>
      <c r="J27" s="169">
        <f t="shared" si="1"/>
        <v>-1607679517</v>
      </c>
      <c r="K27" s="168">
        <f t="shared" si="2"/>
        <v>2424303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50</v>
      </c>
      <c r="B28" s="191" t="str">
        <f>'daftar nominatif'!B32</f>
        <v>NURWAZATTI ESA
NIP.198611132010012005</v>
      </c>
      <c r="C28" s="192" t="str">
        <f t="shared" si="0"/>
        <v>NURWAZATTI ESA</v>
      </c>
      <c r="D28" s="193">
        <f>IFERROR(INDEX(rekap_tpp[], MATCH(MID(B28, FIND("NIP.", B28) + 4, LEN(B28)), INDEX(rekap_tpp[], 0, 8), 0), 11), "NIP tidak ditemukan")</f>
        <v>1610904107</v>
      </c>
      <c r="E28" s="166">
        <f>bpjs!R29</f>
        <v>1516245</v>
      </c>
      <c r="F28" s="167"/>
      <c r="G28" s="168"/>
      <c r="H28" s="168">
        <f>IFERROR(INDEX(rekap_tpp[], MATCH(MID(B28, FIND("NIP.", B28) + 4, LEN(B28)), INDEX(rekap_tpp[], 0, 8), 0), 32), "NIP tidak ditemukan")</f>
        <v>1610106127</v>
      </c>
      <c r="I28" s="168">
        <v>0</v>
      </c>
      <c r="J28" s="169">
        <f t="shared" si="1"/>
        <v>-1608589882</v>
      </c>
      <c r="K28" s="168">
        <f t="shared" si="2"/>
        <v>1516245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51</v>
      </c>
      <c r="B29" s="191" t="str">
        <f>'daftar nominatif'!B33</f>
        <v>PADILAWATI
NIP.197902192010012005</v>
      </c>
      <c r="C29" s="192" t="str">
        <f t="shared" si="0"/>
        <v>PADILAWATI</v>
      </c>
      <c r="D29" s="193">
        <f>IFERROR(INDEX(rekap_tpp[], MATCH(MID(B29, FIND("NIP.", B29) + 4, LEN(B29)), INDEX(rekap_tpp[], 0, 8), 0), 11), "NIP tidak ditemukan")</f>
        <v>1610100879</v>
      </c>
      <c r="E29" s="166">
        <f>bpjs!R30</f>
        <v>1609740</v>
      </c>
      <c r="F29" s="167"/>
      <c r="G29" s="168"/>
      <c r="H29" s="168">
        <f>IFERROR(INDEX(rekap_tpp[], MATCH(MID(B29, FIND("NIP.", B29) + 4, LEN(B29)), INDEX(rekap_tpp[], 0, 8), 0), 32), "NIP tidak ditemukan")</f>
        <v>1610100879</v>
      </c>
      <c r="I29" s="168">
        <v>0</v>
      </c>
      <c r="J29" s="169">
        <f t="shared" si="1"/>
        <v>-1608491139</v>
      </c>
      <c r="K29" s="168">
        <f t="shared" si="2"/>
        <v>1609740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52</v>
      </c>
      <c r="B30" s="191" t="str">
        <f>'daftar nominatif'!B34</f>
        <v>RIZALDI
NIP.197608312006041006</v>
      </c>
      <c r="C30" s="192" t="str">
        <f t="shared" si="0"/>
        <v>RIZALDI</v>
      </c>
      <c r="D30" s="193">
        <f>IFERROR(INDEX(rekap_tpp[], MATCH(MID(B30, FIND("NIP.", B30) + 4, LEN(B30)), INDEX(rekap_tpp[], 0, 8), 0), 11), "NIP tidak ditemukan")</f>
        <v>1610104362</v>
      </c>
      <c r="E30" s="166">
        <f>bpjs!R31</f>
        <v>1783977</v>
      </c>
      <c r="F30" s="167"/>
      <c r="G30" s="168"/>
      <c r="H30" s="168">
        <f>IFERROR(INDEX(rekap_tpp[], MATCH(MID(B30, FIND("NIP.", B30) + 4, LEN(B30)), INDEX(rekap_tpp[], 0, 8), 0), 32), "NIP tidak ditemukan")</f>
        <v>1610104362</v>
      </c>
      <c r="I30" s="168">
        <v>0</v>
      </c>
      <c r="J30" s="169">
        <f t="shared" si="1"/>
        <v>-1608320385</v>
      </c>
      <c r="K30" s="168">
        <f t="shared" si="2"/>
        <v>1783977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111</v>
      </c>
      <c r="B31" s="191" t="str">
        <f>'daftar nominatif'!B35</f>
        <v>SRI HANDAYANI
NIP.198112102009032002</v>
      </c>
      <c r="C31" s="192" t="str">
        <f t="shared" si="0"/>
        <v>SRI HANDAYANI</v>
      </c>
      <c r="D31" s="193">
        <f>IFERROR(INDEX(rekap_tpp[], MATCH(MID(B31, FIND("NIP.", B31) + 4, LEN(B31)), INDEX(rekap_tpp[], 0, 8), 0), 11), "NIP tidak ditemukan")</f>
        <v>1610104840</v>
      </c>
      <c r="E31" s="166">
        <f>bpjs!R32</f>
        <v>1598358</v>
      </c>
      <c r="F31" s="167"/>
      <c r="G31" s="168"/>
      <c r="H31" s="168">
        <f>IFERROR(INDEX(rekap_tpp[], MATCH(MID(B31, FIND("NIP.", B31) + 4, LEN(B31)), INDEX(rekap_tpp[], 0, 8), 0), 32), "NIP tidak ditemukan")</f>
        <v>1610104840</v>
      </c>
      <c r="I31" s="168">
        <v>0</v>
      </c>
      <c r="J31" s="169">
        <f t="shared" si="1"/>
        <v>-1608506482</v>
      </c>
      <c r="K31" s="168">
        <f t="shared" si="2"/>
        <v>1598358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53</v>
      </c>
      <c r="B32" s="191" t="str">
        <f>'daftar nominatif'!B36</f>
        <v>SYAHRYANTO
NIP.197708262006041005</v>
      </c>
      <c r="C32" s="192" t="str">
        <f t="shared" si="0"/>
        <v>SYAHRYANTO</v>
      </c>
      <c r="D32" s="193">
        <f>IFERROR(INDEX(rekap_tpp[], MATCH(MID(B32, FIND("NIP.", B32) + 4, LEN(B32)), INDEX(rekap_tpp[], 0, 8), 0), 11), "NIP tidak ditemukan")</f>
        <v>1610102485</v>
      </c>
      <c r="E32" s="166">
        <f>bpjs!R33</f>
        <v>4029858</v>
      </c>
      <c r="F32" s="167"/>
      <c r="G32" s="168"/>
      <c r="H32" s="168">
        <f>IFERROR(INDEX(rekap_tpp[], MATCH(MID(B32, FIND("NIP.", B32) + 4, LEN(B32)), INDEX(rekap_tpp[], 0, 8), 0), 32), "NIP tidak ditemukan")</f>
        <v>1610102485</v>
      </c>
      <c r="I32" s="168">
        <v>0</v>
      </c>
      <c r="J32" s="169">
        <f t="shared" si="1"/>
        <v>-1606072627</v>
      </c>
      <c r="K32" s="168">
        <f t="shared" si="2"/>
        <v>4029858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54</v>
      </c>
      <c r="B33" s="191" t="str">
        <f>'daftar nominatif'!B37</f>
        <v>SYAMSIAH
NIP.197009032009032001</v>
      </c>
      <c r="C33" s="192" t="str">
        <f t="shared" si="0"/>
        <v>SYAMSIAH</v>
      </c>
      <c r="D33" s="193">
        <f>IFERROR(INDEX(rekap_tpp[], MATCH(MID(B33, FIND("NIP.", B33) + 4, LEN(B33)), INDEX(rekap_tpp[], 0, 8), 0), 11), "NIP tidak ditemukan")</f>
        <v>1610100141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32), "NIP tidak ditemukan")</f>
        <v>1610100141</v>
      </c>
      <c r="I33" s="168">
        <v>0</v>
      </c>
      <c r="J33" s="169">
        <f t="shared" si="1"/>
        <v>-1608496092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55</v>
      </c>
      <c r="B34" s="191" t="str">
        <f>'daftar nominatif'!B38</f>
        <v>TOTOK SUPRIJADI
NIP.197505042010011017</v>
      </c>
      <c r="C34" s="192" t="str">
        <f t="shared" si="0"/>
        <v>TOTOK SUPRIJADI</v>
      </c>
      <c r="D34" s="193">
        <f>IFERROR(INDEX(rekap_tpp[], MATCH(MID(B34, FIND("NIP.", B34) + 4, LEN(B34)), INDEX(rekap_tpp[], 0, 8), 0), 11), "NIP tidak ditemukan")</f>
        <v>1610901665</v>
      </c>
      <c r="E34" s="166">
        <f>bpjs!R35</f>
        <v>1539822</v>
      </c>
      <c r="F34" s="167"/>
      <c r="G34" s="168"/>
      <c r="H34" s="168">
        <f>IFERROR(INDEX(rekap_tpp[], MATCH(MID(B34, FIND("NIP.", B34) + 4, LEN(B34)), INDEX(rekap_tpp[], 0, 8), 0), 32), "NIP tidak ditemukan")</f>
        <v>1610901665</v>
      </c>
      <c r="I34" s="168">
        <v>0</v>
      </c>
      <c r="J34" s="169">
        <f t="shared" si="1"/>
        <v>-1609361843</v>
      </c>
      <c r="K34" s="168">
        <f t="shared" si="2"/>
        <v>1539822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182" customFormat="1" ht="31" x14ac:dyDescent="0.35">
      <c r="A35" s="222" t="s">
        <v>56</v>
      </c>
      <c r="B35" s="191" t="str">
        <f>'daftar nominatif'!B39</f>
        <v>YOPA AGUSTINA
NIP.198008292009032001</v>
      </c>
      <c r="C35" s="192" t="str">
        <f t="shared" si="0"/>
        <v>YOPA AGUSTINA</v>
      </c>
      <c r="D35" s="193">
        <f>IFERROR(INDEX(rekap_tpp[], MATCH(MID(B35, FIND("NIP.", B35) + 4, LEN(B35)), INDEX(rekap_tpp[], 0, 8), 0), 11), "NIP tidak ditemukan")</f>
        <v>1610104837</v>
      </c>
      <c r="E35" s="166">
        <f>bpjs!R36</f>
        <v>1604049</v>
      </c>
      <c r="F35" s="167"/>
      <c r="G35" s="168"/>
      <c r="H35" s="168">
        <f>IFERROR(INDEX(rekap_tpp[], MATCH(MID(B35, FIND("NIP.", B35) + 4, LEN(B35)), INDEX(rekap_tpp[], 0, 8), 0), 32), "NIP tidak ditemukan")</f>
        <v>1610104837</v>
      </c>
      <c r="I35" s="168">
        <v>0</v>
      </c>
      <c r="J35" s="169">
        <f t="shared" si="1"/>
        <v>-1608500788</v>
      </c>
      <c r="K35" s="168">
        <f t="shared" si="2"/>
        <v>1604049</v>
      </c>
      <c r="L35" s="105" t="str">
        <f>bpjs!S36</f>
        <v>SMK NEGERI 1 KOBA</v>
      </c>
      <c r="M35" s="29"/>
      <c r="N35" s="29"/>
      <c r="O35" s="29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</row>
    <row r="36" spans="1:32" s="205" customFormat="1" ht="24.5" customHeight="1" x14ac:dyDescent="0.35">
      <c r="A36" s="230"/>
      <c r="B36" s="231"/>
      <c r="C36" s="232"/>
      <c r="D36" s="233"/>
      <c r="E36" s="234" t="e">
        <f>SUM(E8:E35)</f>
        <v>#VALUE!</v>
      </c>
      <c r="F36" s="234">
        <f t="shared" ref="F36:K36" si="3">SUM(F8:F35)</f>
        <v>0</v>
      </c>
      <c r="G36" s="234">
        <f t="shared" si="3"/>
        <v>0</v>
      </c>
      <c r="H36" s="234">
        <f t="shared" si="3"/>
        <v>71846209261</v>
      </c>
      <c r="I36" s="234">
        <f t="shared" si="3"/>
        <v>0</v>
      </c>
      <c r="J36" s="234" t="e">
        <f t="shared" si="3"/>
        <v>#VALUE!</v>
      </c>
      <c r="K36" s="234" t="e">
        <f t="shared" si="3"/>
        <v>#VALUE!</v>
      </c>
      <c r="L36" s="235"/>
      <c r="M36" s="236"/>
      <c r="N36" s="236"/>
      <c r="O36" s="236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7"/>
      <c r="AB36" s="237"/>
      <c r="AC36" s="237"/>
      <c r="AD36" s="237"/>
      <c r="AE36" s="237"/>
      <c r="AF36" s="237"/>
    </row>
    <row r="37" spans="1:32" ht="15.5" x14ac:dyDescent="0.35">
      <c r="A37" s="28"/>
      <c r="B37" s="32"/>
      <c r="C37" s="33"/>
      <c r="D37" s="34"/>
      <c r="E37" s="35"/>
      <c r="F37" s="36"/>
      <c r="G37" s="36"/>
      <c r="H37" s="36"/>
      <c r="I37" s="37"/>
      <c r="J37" s="37"/>
      <c r="K37" s="30"/>
      <c r="L37" s="28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ht="15.5" customHeight="1" x14ac:dyDescent="0.35">
      <c r="A38" s="28"/>
      <c r="B38" s="32"/>
      <c r="C38" s="33"/>
      <c r="D38" s="38"/>
      <c r="E38" s="39"/>
      <c r="F38" s="37"/>
      <c r="G38" s="36"/>
      <c r="H38" s="36"/>
      <c r="I38" s="36"/>
      <c r="J38" s="36"/>
      <c r="K38" s="294" t="str">
        <f>"Pangkalpinang,        "&amp;TEXT(EDATE(bpjs!C4,1),"mmmm yyyy")</f>
        <v>Pangkalpinang,        Agustus 2026</v>
      </c>
      <c r="L38" s="294"/>
      <c r="M38" s="29"/>
      <c r="N38" s="29"/>
      <c r="O38" s="29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</row>
    <row r="39" spans="1:32" s="175" customFormat="1" ht="15.5" x14ac:dyDescent="0.35">
      <c r="A39" s="181"/>
      <c r="B39" s="194"/>
      <c r="C39" s="195"/>
      <c r="D39" s="196"/>
      <c r="E39" s="197"/>
      <c r="F39" s="198"/>
      <c r="G39" s="199"/>
      <c r="H39" s="199"/>
      <c r="I39" s="199"/>
      <c r="J39" s="199"/>
      <c r="K39" s="295" t="s">
        <v>316</v>
      </c>
      <c r="L39" s="295"/>
      <c r="M39" s="29"/>
      <c r="N39" s="29"/>
      <c r="O39" s="29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</row>
    <row r="40" spans="1:32" ht="15.5" x14ac:dyDescent="0.35">
      <c r="A40" s="28"/>
      <c r="B40" s="32"/>
      <c r="C40" s="33"/>
      <c r="D40" s="38"/>
      <c r="E40" s="39"/>
      <c r="F40" s="37"/>
      <c r="G40" s="36"/>
      <c r="H40" s="36"/>
      <c r="I40" s="36"/>
      <c r="J40" s="36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5.5" x14ac:dyDescent="0.35">
      <c r="A41" s="28"/>
      <c r="B41" s="32"/>
      <c r="C41" s="33"/>
      <c r="D41" s="38"/>
      <c r="E41" s="35"/>
      <c r="F41" s="37"/>
      <c r="G41" s="37"/>
      <c r="H41" s="37"/>
      <c r="I41" s="40"/>
      <c r="J41" s="40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x14ac:dyDescent="0.35">
      <c r="A42" s="28"/>
      <c r="B42" s="33"/>
      <c r="C42" s="30"/>
      <c r="D42" s="38"/>
      <c r="E42" s="37"/>
      <c r="F42" s="37"/>
      <c r="G42" s="40"/>
      <c r="H42" s="40"/>
      <c r="I42" s="41"/>
      <c r="J42" s="41"/>
      <c r="K42" s="295"/>
      <c r="L42" s="295"/>
      <c r="M42" s="29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6.5" customHeight="1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88</v>
      </c>
      <c r="L43" s="295"/>
      <c r="M43" s="46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295" t="s">
        <v>89</v>
      </c>
      <c r="L44" s="295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2"/>
      <c r="C45" s="43"/>
      <c r="D45" s="44"/>
      <c r="E45" s="45"/>
      <c r="F45" s="45"/>
      <c r="G45" s="37"/>
      <c r="H45" s="37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5.5" x14ac:dyDescent="0.35">
      <c r="A46" s="28"/>
      <c r="B46" s="48"/>
      <c r="C46" s="49"/>
      <c r="D46" s="44"/>
      <c r="E46" s="45"/>
      <c r="F46" s="45"/>
      <c r="G46" s="45"/>
      <c r="H46" s="45"/>
      <c r="I46" s="37"/>
      <c r="J46" s="37"/>
      <c r="K46" s="40"/>
      <c r="L46" s="40"/>
      <c r="M46" s="47"/>
      <c r="N46" s="29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6"/>
      <c r="O47" s="29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6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6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5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30"/>
    </row>
    <row r="51" spans="1:32" ht="16.5" x14ac:dyDescent="0.35">
      <c r="A51" s="28"/>
      <c r="B51" s="48"/>
      <c r="C51" s="49"/>
      <c r="D51" s="50"/>
      <c r="E51" s="45"/>
      <c r="F51" s="45"/>
      <c r="G51" s="45"/>
      <c r="H51" s="45"/>
      <c r="I51" s="45"/>
      <c r="J51" s="45"/>
      <c r="K51" s="45"/>
      <c r="L51" s="40"/>
      <c r="M51" s="47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41"/>
    </row>
    <row r="52" spans="1:32" ht="16.5" x14ac:dyDescent="0.35">
      <c r="A52" s="51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N52" s="47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O55" s="4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40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  <row r="1007" spans="1:32" ht="15.5" x14ac:dyDescent="0.35">
      <c r="A1007" s="54"/>
      <c r="B1007" s="52"/>
      <c r="C1007" s="48"/>
      <c r="D1007" s="53"/>
      <c r="E1007" s="52"/>
      <c r="F1007" s="45"/>
      <c r="G1007" s="45"/>
      <c r="H1007" s="45"/>
      <c r="I1007" s="45"/>
      <c r="J1007" s="45"/>
      <c r="K1007" s="45"/>
      <c r="L1007" s="54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  <c r="AA1007" s="45"/>
      <c r="AB1007" s="45"/>
      <c r="AC1007" s="45"/>
      <c r="AD1007" s="45"/>
      <c r="AE1007" s="45"/>
      <c r="AF1007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8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4" zoomScale="70" zoomScaleNormal="70" workbookViewId="0">
      <selection activeCell="G32" sqref="G32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303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304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305</v>
      </c>
      <c r="C13" s="299" t="s">
        <v>317</v>
      </c>
      <c r="H13" s="297"/>
    </row>
    <row r="14" spans="1:8" ht="15.5" x14ac:dyDescent="0.35">
      <c r="A14" s="298"/>
      <c r="B14" s="300" t="s">
        <v>6</v>
      </c>
      <c r="C14" s="301" t="s">
        <v>189</v>
      </c>
    </row>
    <row r="15" spans="1:8" ht="15.5" x14ac:dyDescent="0.35">
      <c r="A15" s="298"/>
      <c r="B15" s="300" t="s">
        <v>306</v>
      </c>
      <c r="C15" s="299" t="s">
        <v>310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307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313</v>
      </c>
      <c r="B19" s="386" t="e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nominatif'!G40,"#.##0") &amp; ",-"&amp;
" ("&amp;Terbilang('daftar nominatif'!G40)&amp;" rupiah) untuk bulan "&amp;
TEXT(bpjs!C4,"mmmm yyyy")&amp;
" telah dihitung dengan benar berdasarkan dokumen pelaksanaan anggaran dan dokumen pendukung lainnya."</f>
        <v>#VALUE!</v>
      </c>
      <c r="C19" s="386"/>
      <c r="J19" s="292"/>
    </row>
    <row r="20" spans="1:10" s="183" customFormat="1" ht="53" customHeight="1" x14ac:dyDescent="0.35">
      <c r="A20" s="303" t="s">
        <v>314</v>
      </c>
      <c r="B20" s="386" t="s">
        <v>311</v>
      </c>
      <c r="C20" s="386"/>
    </row>
    <row r="21" spans="1:10" s="183" customFormat="1" ht="93" customHeight="1" x14ac:dyDescent="0.35">
      <c r="A21" s="303" t="s">
        <v>315</v>
      </c>
      <c r="B21" s="386" t="s">
        <v>312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308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317</v>
      </c>
    </row>
    <row r="30" spans="1:10" s="183" customFormat="1" ht="15.5" x14ac:dyDescent="0.35">
      <c r="A30" s="298"/>
      <c r="B30" s="298"/>
      <c r="C30" s="304" t="s">
        <v>309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30"/>
  <sheetViews>
    <sheetView showGridLines="0" topLeftCell="AG1" zoomScale="70" zoomScaleNormal="70" workbookViewId="0">
      <selection activeCell="AU27" sqref="AU27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0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 t="str">
        <f>'rekap nominatif etukin'!C5</f>
        <v>Guru Muda</v>
      </c>
      <c r="R2" s="273">
        <f>'rekap nominatif etukin'!D5</f>
        <v>0</v>
      </c>
      <c r="S2" s="273">
        <f>'rekap nominatif etukin'!E5</f>
        <v>666660</v>
      </c>
      <c r="T2" s="273">
        <f>'rekap nominatif etukin'!F5</f>
        <v>1626000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 t="e">
        <f t="shared" ref="AC2:AC28" si="0">AG2*1%</f>
        <v>#VALUE!</v>
      </c>
      <c r="AD2" s="261"/>
      <c r="AE2" s="274">
        <v>0</v>
      </c>
      <c r="AF2" s="274">
        <v>0</v>
      </c>
      <c r="AG2" s="262" t="e">
        <f>Q2+R2</f>
        <v>#VALUE!</v>
      </c>
      <c r="AH2" s="275" t="e">
        <f t="shared" ref="AH2:AH28" si="1">W2+AD2+AC2</f>
        <v>#VALUE!</v>
      </c>
      <c r="AI2" s="276" t="e">
        <f t="shared" ref="AI2:AI28" si="2">AG2-AH2</f>
        <v>#VALUE!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0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 t="str">
        <f>'rekap nominatif etukin'!C6</f>
        <v>Guru Pertama</v>
      </c>
      <c r="R3" s="273">
        <f>'rekap nominatif etukin'!D6</f>
        <v>0</v>
      </c>
      <c r="S3" s="273">
        <f>'rekap nominatif etukin'!E6</f>
        <v>835120</v>
      </c>
      <c r="T3" s="273">
        <f>'rekap nominatif etukin'!F6</f>
        <v>1606000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 t="e">
        <f t="shared" si="0"/>
        <v>#VALUE!</v>
      </c>
      <c r="AD3" s="261"/>
      <c r="AE3" s="274">
        <v>0</v>
      </c>
      <c r="AF3" s="274">
        <v>0</v>
      </c>
      <c r="AG3" s="262" t="e">
        <f t="shared" ref="AG3:AG30" si="3">Q3+R3</f>
        <v>#VALUE!</v>
      </c>
      <c r="AH3" s="275" t="e">
        <f t="shared" si="1"/>
        <v>#VALUE!</v>
      </c>
      <c r="AI3" s="276" t="e">
        <f t="shared" si="2"/>
        <v>#VALUE!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0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 t="str">
        <f>'rekap nominatif etukin'!C7</f>
        <v>Guru Pertama</v>
      </c>
      <c r="R4" s="273">
        <f>'rekap nominatif etukin'!D7</f>
        <v>0</v>
      </c>
      <c r="S4" s="273">
        <f>'rekap nominatif etukin'!E7</f>
        <v>835120</v>
      </c>
      <c r="T4" s="273">
        <f>'rekap nominatif etukin'!F7</f>
        <v>1606000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 t="e">
        <f t="shared" si="0"/>
        <v>#VALUE!</v>
      </c>
      <c r="AD4" s="261"/>
      <c r="AE4" s="274">
        <v>0</v>
      </c>
      <c r="AF4" s="274">
        <v>0</v>
      </c>
      <c r="AG4" s="262" t="e">
        <f t="shared" si="3"/>
        <v>#VALUE!</v>
      </c>
      <c r="AH4" s="275" t="e">
        <f t="shared" si="1"/>
        <v>#VALUE!</v>
      </c>
      <c r="AI4" s="276" t="e">
        <f t="shared" si="2"/>
        <v>#VALUE!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0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 t="str">
        <f>'rekap nominatif etukin'!C8</f>
        <v>Guru Muda</v>
      </c>
      <c r="R5" s="273">
        <f>'rekap nominatif etukin'!D8</f>
        <v>0</v>
      </c>
      <c r="S5" s="273">
        <f>'rekap nominatif etukin'!E8</f>
        <v>666660</v>
      </c>
      <c r="T5" s="273">
        <f>'rekap nominatif etukin'!F8</f>
        <v>1626000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 t="e">
        <f t="shared" si="0"/>
        <v>#VALUE!</v>
      </c>
      <c r="AD5" s="261"/>
      <c r="AE5" s="274">
        <v>0</v>
      </c>
      <c r="AF5" s="274">
        <v>0</v>
      </c>
      <c r="AG5" s="262" t="e">
        <f t="shared" si="3"/>
        <v>#VALUE!</v>
      </c>
      <c r="AH5" s="275" t="e">
        <f t="shared" si="1"/>
        <v>#VALUE!</v>
      </c>
      <c r="AI5" s="276" t="e">
        <f t="shared" si="2"/>
        <v>#VALUE!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0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 t="str">
        <f>'rekap nominatif etukin'!C9</f>
        <v>Guru Muda</v>
      </c>
      <c r="R6" s="273">
        <f>'rekap nominatif etukin'!D9</f>
        <v>0</v>
      </c>
      <c r="S6" s="273">
        <f>'rekap nominatif etukin'!E9</f>
        <v>661993</v>
      </c>
      <c r="T6" s="273">
        <f>'rekap nominatif etukin'!F9</f>
        <v>1614618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 t="e">
        <f t="shared" si="0"/>
        <v>#VALUE!</v>
      </c>
      <c r="AD6" s="261"/>
      <c r="AE6" s="274">
        <v>0</v>
      </c>
      <c r="AF6" s="274">
        <v>0</v>
      </c>
      <c r="AG6" s="262" t="e">
        <f t="shared" si="3"/>
        <v>#VALUE!</v>
      </c>
      <c r="AH6" s="275" t="e">
        <f t="shared" si="1"/>
        <v>#VALUE!</v>
      </c>
      <c r="AI6" s="276" t="e">
        <f t="shared" si="2"/>
        <v>#VALUE!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0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 t="str">
        <f>'rekap nominatif etukin'!C10</f>
        <v>Guru Muda</v>
      </c>
      <c r="R7" s="273">
        <f>'rekap nominatif etukin'!D10</f>
        <v>0</v>
      </c>
      <c r="S7" s="273">
        <f>'rekap nominatif etukin'!E10</f>
        <v>666660</v>
      </c>
      <c r="T7" s="273">
        <f>'rekap nominatif etukin'!F10</f>
        <v>1626000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 t="e">
        <f t="shared" si="0"/>
        <v>#VALUE!</v>
      </c>
      <c r="AD7" s="261"/>
      <c r="AE7" s="274">
        <v>0</v>
      </c>
      <c r="AF7" s="274">
        <v>0</v>
      </c>
      <c r="AG7" s="262" t="e">
        <f t="shared" si="3"/>
        <v>#VALUE!</v>
      </c>
      <c r="AH7" s="275" t="e">
        <f t="shared" si="1"/>
        <v>#VALUE!</v>
      </c>
      <c r="AI7" s="276" t="e">
        <f t="shared" si="2"/>
        <v>#VALUE!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0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 t="str">
        <f>'rekap nominatif etukin'!C11</f>
        <v>Guru Ahli Madya</v>
      </c>
      <c r="R8" s="273">
        <f>'rekap nominatif etukin'!D11</f>
        <v>0</v>
      </c>
      <c r="S8" s="273">
        <f>'rekap nominatif etukin'!E11</f>
        <v>562455</v>
      </c>
      <c r="T8" s="273">
        <f>'rekap nominatif etukin'!F11</f>
        <v>1814370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 t="e">
        <f t="shared" si="0"/>
        <v>#VALUE!</v>
      </c>
      <c r="AD8" s="261"/>
      <c r="AE8" s="274">
        <v>0</v>
      </c>
      <c r="AF8" s="274">
        <v>0</v>
      </c>
      <c r="AG8" s="262" t="e">
        <f t="shared" si="3"/>
        <v>#VALUE!</v>
      </c>
      <c r="AH8" s="275" t="e">
        <f t="shared" si="1"/>
        <v>#VALUE!</v>
      </c>
      <c r="AI8" s="276" t="e">
        <f t="shared" si="2"/>
        <v>#VALUE!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0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 t="str">
        <f>'rekap nominatif etukin'!C12</f>
        <v>Guru Muda</v>
      </c>
      <c r="R9" s="273">
        <f>'rekap nominatif etukin'!D12</f>
        <v>0</v>
      </c>
      <c r="S9" s="273">
        <f>'rekap nominatif etukin'!E12</f>
        <v>664327</v>
      </c>
      <c r="T9" s="273">
        <f>'rekap nominatif etukin'!F12</f>
        <v>1620309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 t="e">
        <f t="shared" si="0"/>
        <v>#VALUE!</v>
      </c>
      <c r="AD9" s="261"/>
      <c r="AE9" s="274">
        <v>0</v>
      </c>
      <c r="AF9" s="274">
        <v>0</v>
      </c>
      <c r="AG9" s="262" t="e">
        <f t="shared" si="3"/>
        <v>#VALUE!</v>
      </c>
      <c r="AH9" s="275" t="e">
        <f t="shared" si="1"/>
        <v>#VALUE!</v>
      </c>
      <c r="AI9" s="276" t="e">
        <f t="shared" si="2"/>
        <v>#VALUE!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0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 t="str">
        <f>'rekap nominatif etukin'!C13</f>
        <v>Guru Ahli Madya</v>
      </c>
      <c r="R10" s="273">
        <f>'rekap nominatif etukin'!D13</f>
        <v>0</v>
      </c>
      <c r="S10" s="273">
        <f>'rekap nominatif etukin'!E13</f>
        <v>569021</v>
      </c>
      <c r="T10" s="273">
        <f>'rekap nominatif etukin'!F13</f>
        <v>1835553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 t="e">
        <f t="shared" si="0"/>
        <v>#VALUE!</v>
      </c>
      <c r="AD10" s="261"/>
      <c r="AE10" s="274">
        <v>0</v>
      </c>
      <c r="AF10" s="274">
        <v>0</v>
      </c>
      <c r="AG10" s="262" t="e">
        <f t="shared" si="3"/>
        <v>#VALUE!</v>
      </c>
      <c r="AH10" s="275" t="e">
        <f t="shared" si="1"/>
        <v>#VALUE!</v>
      </c>
      <c r="AI10" s="276" t="e">
        <f t="shared" si="2"/>
        <v>#VALUE!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0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 t="str">
        <f>'rekap nominatif etukin'!C14</f>
        <v>Analis Sumber Daya Manusia Aparatur Ahli Muda</v>
      </c>
      <c r="R11" s="273">
        <f>'rekap nominatif etukin'!D14</f>
        <v>0</v>
      </c>
      <c r="S11" s="273">
        <f>'rekap nominatif etukin'!E14</f>
        <v>3984120</v>
      </c>
      <c r="T11" s="273">
        <f>'rekap nominatif etukin'!F14</f>
        <v>4743000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 t="e">
        <f t="shared" si="0"/>
        <v>#VALUE!</v>
      </c>
      <c r="AD11" s="261"/>
      <c r="AE11" s="274">
        <v>0</v>
      </c>
      <c r="AF11" s="274">
        <v>0</v>
      </c>
      <c r="AG11" s="262" t="e">
        <f t="shared" si="3"/>
        <v>#VALUE!</v>
      </c>
      <c r="AH11" s="275" t="e">
        <f t="shared" si="1"/>
        <v>#VALUE!</v>
      </c>
      <c r="AI11" s="276" t="e">
        <f t="shared" si="2"/>
        <v>#VALUE!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0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 t="str">
        <f>'rekap nominatif etukin'!C15</f>
        <v>Guru Pertama</v>
      </c>
      <c r="R12" s="273">
        <f>'rekap nominatif etukin'!D15</f>
        <v>0</v>
      </c>
      <c r="S12" s="273">
        <f>'rekap nominatif etukin'!E15</f>
        <v>835120</v>
      </c>
      <c r="T12" s="273">
        <f>'rekap nominatif etukin'!F15</f>
        <v>1606000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 t="e">
        <f t="shared" si="0"/>
        <v>#VALUE!</v>
      </c>
      <c r="AD12" s="261"/>
      <c r="AE12" s="274">
        <v>0</v>
      </c>
      <c r="AF12" s="274">
        <v>0</v>
      </c>
      <c r="AG12" s="262" t="e">
        <f t="shared" si="3"/>
        <v>#VALUE!</v>
      </c>
      <c r="AH12" s="275" t="e">
        <f t="shared" si="1"/>
        <v>#VALUE!</v>
      </c>
      <c r="AI12" s="276" t="e">
        <f t="shared" si="2"/>
        <v>#VALUE!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0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 t="str">
        <f>'rekap nominatif etukin'!C16</f>
        <v>Guru Ahli Madya</v>
      </c>
      <c r="R13" s="273">
        <f>'rekap nominatif etukin'!D16</f>
        <v>0</v>
      </c>
      <c r="S13" s="273">
        <f>'rekap nominatif etukin'!E16</f>
        <v>571020</v>
      </c>
      <c r="T13" s="273">
        <f>'rekap nominatif etukin'!F16</f>
        <v>1842000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 t="e">
        <f t="shared" si="0"/>
        <v>#VALUE!</v>
      </c>
      <c r="AD13" s="261"/>
      <c r="AE13" s="274">
        <v>0</v>
      </c>
      <c r="AF13" s="274">
        <v>0</v>
      </c>
      <c r="AG13" s="262" t="e">
        <f t="shared" si="3"/>
        <v>#VALUE!</v>
      </c>
      <c r="AH13" s="275" t="e">
        <f t="shared" si="1"/>
        <v>#VALUE!</v>
      </c>
      <c r="AI13" s="276" t="e">
        <f t="shared" si="2"/>
        <v>#VALUE!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0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 t="str">
        <f>'rekap nominatif etukin'!C17</f>
        <v>Guru Muda</v>
      </c>
      <c r="R14" s="273">
        <f>'rekap nominatif etukin'!D17</f>
        <v>0</v>
      </c>
      <c r="S14" s="273">
        <f>'rekap nominatif etukin'!E17</f>
        <v>664327</v>
      </c>
      <c r="T14" s="273">
        <f>'rekap nominatif etukin'!F17</f>
        <v>1620309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 t="e">
        <f t="shared" si="0"/>
        <v>#VALUE!</v>
      </c>
      <c r="AD14" s="261"/>
      <c r="AE14" s="274">
        <v>0</v>
      </c>
      <c r="AF14" s="274">
        <v>0</v>
      </c>
      <c r="AG14" s="262" t="e">
        <f t="shared" si="3"/>
        <v>#VALUE!</v>
      </c>
      <c r="AH14" s="275" t="e">
        <f t="shared" si="1"/>
        <v>#VALUE!</v>
      </c>
      <c r="AI14" s="276" t="e">
        <f t="shared" si="2"/>
        <v>#VALUE!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0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 t="str">
        <f>'rekap nominatif etukin'!C18</f>
        <v>Guru Muda</v>
      </c>
      <c r="R15" s="273">
        <f>'rekap nominatif etukin'!D18</f>
        <v>0</v>
      </c>
      <c r="S15" s="273">
        <f>'rekap nominatif etukin'!E18</f>
        <v>666660</v>
      </c>
      <c r="T15" s="273">
        <f>'rekap nominatif etukin'!F18</f>
        <v>1626000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 t="e">
        <f t="shared" si="0"/>
        <v>#VALUE!</v>
      </c>
      <c r="AD15" s="261"/>
      <c r="AE15" s="274">
        <v>0</v>
      </c>
      <c r="AF15" s="274">
        <v>0</v>
      </c>
      <c r="AG15" s="262" t="e">
        <f t="shared" si="3"/>
        <v>#VALUE!</v>
      </c>
      <c r="AH15" s="275" t="e">
        <f t="shared" si="1"/>
        <v>#VALUE!</v>
      </c>
      <c r="AI15" s="276" t="e">
        <f t="shared" si="2"/>
        <v>#VALUE!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0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 t="str">
        <f>'rekap nominatif etukin'!C19</f>
        <v>Guru Muda</v>
      </c>
      <c r="R16" s="273">
        <f>'rekap nominatif etukin'!D19</f>
        <v>0</v>
      </c>
      <c r="S16" s="273">
        <f>'rekap nominatif etukin'!E19</f>
        <v>666660</v>
      </c>
      <c r="T16" s="273">
        <f>'rekap nominatif etukin'!F19</f>
        <v>1626000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 t="e">
        <f t="shared" si="0"/>
        <v>#VALUE!</v>
      </c>
      <c r="AD16" s="261"/>
      <c r="AE16" s="274">
        <v>0</v>
      </c>
      <c r="AF16" s="274">
        <v>0</v>
      </c>
      <c r="AG16" s="262" t="e">
        <f t="shared" si="3"/>
        <v>#VALUE!</v>
      </c>
      <c r="AH16" s="275" t="e">
        <f t="shared" si="1"/>
        <v>#VALUE!</v>
      </c>
      <c r="AI16" s="276" t="e">
        <f t="shared" si="2"/>
        <v>#VALUE!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0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 t="str">
        <f>'rekap nominatif etukin'!C20</f>
        <v>Guru Muda</v>
      </c>
      <c r="R17" s="273">
        <f>'rekap nominatif etukin'!D20</f>
        <v>0</v>
      </c>
      <c r="S17" s="273">
        <f>'rekap nominatif etukin'!E20</f>
        <v>666660</v>
      </c>
      <c r="T17" s="273">
        <f>'rekap nominatif etukin'!F20</f>
        <v>1626000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 t="e">
        <f t="shared" si="0"/>
        <v>#VALUE!</v>
      </c>
      <c r="AD17" s="261"/>
      <c r="AE17" s="274">
        <v>0</v>
      </c>
      <c r="AF17" s="274">
        <v>0</v>
      </c>
      <c r="AG17" s="262" t="e">
        <f t="shared" si="3"/>
        <v>#VALUE!</v>
      </c>
      <c r="AH17" s="275" t="e">
        <f t="shared" si="1"/>
        <v>#VALUE!</v>
      </c>
      <c r="AI17" s="276" t="e">
        <f t="shared" si="2"/>
        <v>#VALUE!</v>
      </c>
    </row>
    <row r="18" spans="1:35" ht="14.5" x14ac:dyDescent="0.35">
      <c r="A18" s="265" t="str">
        <f>bpjs!C25</f>
        <v>NIP tidak ditemukan</v>
      </c>
      <c r="B18" s="266" t="str">
        <f>bank!C24</f>
        <v>LUQMAN SYARIEF</v>
      </c>
      <c r="C18" s="267" t="str">
        <f>bpjs!D25</f>
        <v>NIP tidak ditemukan</v>
      </c>
      <c r="D18" s="268" t="str">
        <f>IFERROR(INDEX(rekap_tpp[], MATCH(A18, INDEX(rekap_tpp[], 0, 8), 0), 10), "NIP tidak ditemukan")</f>
        <v>NIP tidak ditemukan</v>
      </c>
      <c r="E18" s="269" t="str">
        <f>IFERROR(INDEX(rekap_tpp[], MATCH(A18, INDEX(rekap_tpp[], 0, 8), 0), 9), "NIP tidak ditemukan")</f>
        <v>NIP tidak ditemukan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NIP tidak ditemukan</v>
      </c>
      <c r="K18" s="271"/>
      <c r="L18" s="270"/>
      <c r="M18" s="271" t="s">
        <v>143</v>
      </c>
      <c r="N18" s="270">
        <v>120</v>
      </c>
      <c r="O18" s="270" t="s">
        <v>144</v>
      </c>
      <c r="P18" s="272" t="str">
        <f>IFERROR(INDEX(rekap_tpp[], MATCH(A18, INDEX(rekap_tpp[], 0, 8), 0), 11), "NIP tidak ditemukan")</f>
        <v>NIP tidak ditemukan</v>
      </c>
      <c r="Q18" s="273" t="str">
        <f>'rekap nominatif etukin'!C21</f>
        <v>NIP tidak ditemukan</v>
      </c>
      <c r="R18" s="273" t="str">
        <f>'rekap nominatif etukin'!D21</f>
        <v>NIP tidak ditemukan</v>
      </c>
      <c r="S18" s="273" t="str">
        <f>'rekap nominatif etukin'!E21</f>
        <v>NIP tidak ditemukan</v>
      </c>
      <c r="T18" s="273" t="str">
        <f>'rekap nominatif etukin'!F21</f>
        <v>NIP tidak ditemukan</v>
      </c>
      <c r="U18" s="273" t="str">
        <f>'rekap nominatif etukin'!G21</f>
        <v>NIP tidak ditemukan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 t="e">
        <f t="shared" si="0"/>
        <v>#VALUE!</v>
      </c>
      <c r="AD18" s="261"/>
      <c r="AE18" s="274">
        <v>0</v>
      </c>
      <c r="AF18" s="274">
        <v>0</v>
      </c>
      <c r="AG18" s="262" t="e">
        <f t="shared" si="3"/>
        <v>#VALUE!</v>
      </c>
      <c r="AH18" s="275" t="e">
        <f t="shared" si="1"/>
        <v>#VALUE!</v>
      </c>
      <c r="AI18" s="276" t="e">
        <f t="shared" si="2"/>
        <v>#VALUE!</v>
      </c>
    </row>
    <row r="19" spans="1:35" ht="14.5" x14ac:dyDescent="0.35">
      <c r="A19" s="265" t="str">
        <f>bpjs!C26</f>
        <v>198803192014021001</v>
      </c>
      <c r="B19" s="266" t="str">
        <f>bank!C25</f>
        <v>MARHAYSON</v>
      </c>
      <c r="C19" s="267">
        <f>bpjs!D26</f>
        <v>0</v>
      </c>
      <c r="D19" s="268" t="str">
        <f>IFERROR(INDEX(rekap_tpp[], MATCH(A19, INDEX(rekap_tpp[], 0, 8), 0), 10), "NIP tidak ditemukan")</f>
        <v>70.266.784.1-315.000</v>
      </c>
      <c r="E19" s="269">
        <f>IFERROR(INDEX(rekap_tpp[], MATCH(A19, INDEX(rekap_tpp[], 0, 8), 0), 9), "NIP tidak ditemukan")</f>
        <v>32221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1610905245</v>
      </c>
      <c r="Q19" s="273" t="str">
        <f>'rekap nominatif etukin'!C22</f>
        <v>Guru Muda</v>
      </c>
      <c r="R19" s="273">
        <f>'rekap nominatif etukin'!D22</f>
        <v>0</v>
      </c>
      <c r="S19" s="273">
        <f>'rekap nominatif etukin'!E22</f>
        <v>666660</v>
      </c>
      <c r="T19" s="273">
        <f>'rekap nominatif etukin'!F22</f>
        <v>1626000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 t="e">
        <f t="shared" si="0"/>
        <v>#VALUE!</v>
      </c>
      <c r="AD19" s="261"/>
      <c r="AE19" s="274">
        <v>0</v>
      </c>
      <c r="AF19" s="274">
        <v>0</v>
      </c>
      <c r="AG19" s="262" t="e">
        <f t="shared" si="3"/>
        <v>#VALUE!</v>
      </c>
      <c r="AH19" s="275" t="e">
        <f t="shared" si="1"/>
        <v>#VALUE!</v>
      </c>
      <c r="AI19" s="276" t="e">
        <f t="shared" si="2"/>
        <v>#VALUE!</v>
      </c>
    </row>
    <row r="20" spans="1:35" ht="14.5" x14ac:dyDescent="0.35">
      <c r="A20" s="265" t="str">
        <f>bpjs!C27</f>
        <v>198502272009032001</v>
      </c>
      <c r="B20" s="266" t="str">
        <f>bank!C26</f>
        <v>MARLIYANTI</v>
      </c>
      <c r="C20" s="267">
        <f>bpjs!D27</f>
        <v>0</v>
      </c>
      <c r="D20" s="268" t="str">
        <f>IFERROR(INDEX(rekap_tpp[], MATCH(A20, INDEX(rekap_tpp[], 0, 8), 0), 10), "NIP tidak ditemukan")</f>
        <v>15.848.509.4-315.000</v>
      </c>
      <c r="E20" s="269">
        <f>IFERROR(INDEX(rekap_tpp[], MATCH(A20, INDEX(rekap_tpp[], 0, 8), 0), 9), "NIP tidak ditemukan")</f>
        <v>31105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III/d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1610104975</v>
      </c>
      <c r="Q20" s="273" t="str">
        <f>'rekap nominatif etukin'!C23</f>
        <v>Guru Muda</v>
      </c>
      <c r="R20" s="273">
        <f>'rekap nominatif etukin'!D23</f>
        <v>0</v>
      </c>
      <c r="S20" s="273">
        <f>'rekap nominatif etukin'!E23</f>
        <v>664327</v>
      </c>
      <c r="T20" s="273">
        <f>'rekap nominatif etukin'!F23</f>
        <v>1620309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 t="e">
        <f t="shared" si="0"/>
        <v>#VALUE!</v>
      </c>
      <c r="AD20" s="261"/>
      <c r="AE20" s="274">
        <v>0</v>
      </c>
      <c r="AF20" s="274">
        <v>0</v>
      </c>
      <c r="AG20" s="262" t="e">
        <f t="shared" si="3"/>
        <v>#VALUE!</v>
      </c>
      <c r="AH20" s="275" t="e">
        <f t="shared" si="1"/>
        <v>#VALUE!</v>
      </c>
      <c r="AI20" s="276" t="e">
        <f t="shared" si="2"/>
        <v>#VALUE!</v>
      </c>
    </row>
    <row r="21" spans="1:35" ht="14.5" x14ac:dyDescent="0.35">
      <c r="A21" s="265" t="str">
        <f>bpjs!C28</f>
        <v>197907062006042016</v>
      </c>
      <c r="B21" s="266" t="str">
        <f>bank!C27</f>
        <v>MARNI</v>
      </c>
      <c r="C21" s="267">
        <f>bpjs!D28</f>
        <v>0</v>
      </c>
      <c r="D21" s="268" t="str">
        <f>IFERROR(INDEX(rekap_tpp[], MATCH(A21, INDEX(rekap_tpp[], 0, 8), 0), 10), "NIP tidak ditemukan")</f>
        <v>14.664.001.6-304.000</v>
      </c>
      <c r="E21" s="269">
        <f>IFERROR(INDEX(rekap_tpp[], MATCH(A21, INDEX(rekap_tpp[], 0, 8), 0), 9), "NIP tidak ditemukan")</f>
        <v>29042</v>
      </c>
      <c r="F21" s="270">
        <v>2</v>
      </c>
      <c r="G21" s="271" t="s">
        <v>142</v>
      </c>
      <c r="H21" s="271">
        <v>0</v>
      </c>
      <c r="I21" s="270">
        <v>1</v>
      </c>
      <c r="J21" s="271" t="str">
        <f>'daftar nominatif'!D31</f>
        <v>III/b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1610103820</v>
      </c>
      <c r="Q21" s="273" t="str">
        <f>'rekap nominatif etukin'!C24</f>
        <v>Bendahara</v>
      </c>
      <c r="R21" s="273">
        <f>'rekap nominatif etukin'!D24</f>
        <v>0</v>
      </c>
      <c r="S21" s="273">
        <f>'rekap nominatif etukin'!E24</f>
        <v>1973580</v>
      </c>
      <c r="T21" s="273">
        <f>'rekap nominatif etukin'!F24</f>
        <v>2667000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 t="e">
        <f t="shared" si="0"/>
        <v>#VALUE!</v>
      </c>
      <c r="AD21" s="261"/>
      <c r="AE21" s="274">
        <v>0</v>
      </c>
      <c r="AF21" s="274">
        <v>0</v>
      </c>
      <c r="AG21" s="262" t="e">
        <f t="shared" si="3"/>
        <v>#VALUE!</v>
      </c>
      <c r="AH21" s="275" t="e">
        <f t="shared" si="1"/>
        <v>#VALUE!</v>
      </c>
      <c r="AI21" s="276" t="e">
        <f t="shared" si="2"/>
        <v>#VALUE!</v>
      </c>
    </row>
    <row r="22" spans="1:35" ht="14.5" x14ac:dyDescent="0.35">
      <c r="A22" s="265" t="str">
        <f>bpjs!C29</f>
        <v>198611132010012005</v>
      </c>
      <c r="B22" s="266" t="str">
        <f>bank!C28</f>
        <v>NURWAZATTI ESA</v>
      </c>
      <c r="C22" s="267">
        <f>bpjs!D29</f>
        <v>0</v>
      </c>
      <c r="D22" s="268" t="str">
        <f>IFERROR(INDEX(rekap_tpp[], MATCH(A22, INDEX(rekap_tpp[], 0, 8), 0), 10), "NIP tidak ditemukan")</f>
        <v>15.941.951.4-304.000</v>
      </c>
      <c r="E22" s="269">
        <f>IFERROR(INDEX(rekap_tpp[], MATCH(A22, INDEX(rekap_tpp[], 0, 8), 0), 9), "NIP tidak ditemukan")</f>
        <v>31729</v>
      </c>
      <c r="F22" s="270">
        <v>2</v>
      </c>
      <c r="G22" s="271" t="s">
        <v>145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1610904107</v>
      </c>
      <c r="Q22" s="273" t="str">
        <f>'rekap nominatif etukin'!C25</f>
        <v>Guru Muda</v>
      </c>
      <c r="R22" s="273">
        <f>'rekap nominatif etukin'!D25</f>
        <v>0</v>
      </c>
      <c r="S22" s="273">
        <f>'rekap nominatif etukin'!E25</f>
        <v>666660</v>
      </c>
      <c r="T22" s="273">
        <f>'rekap nominatif etukin'!F25</f>
        <v>1626000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 t="e">
        <f t="shared" si="0"/>
        <v>#VALUE!</v>
      </c>
      <c r="AD22" s="261"/>
      <c r="AE22" s="274">
        <v>0</v>
      </c>
      <c r="AF22" s="274">
        <v>0</v>
      </c>
      <c r="AG22" s="262" t="e">
        <f t="shared" si="3"/>
        <v>#VALUE!</v>
      </c>
      <c r="AH22" s="275" t="e">
        <f t="shared" si="1"/>
        <v>#VALUE!</v>
      </c>
      <c r="AI22" s="276" t="e">
        <f t="shared" si="2"/>
        <v>#VALUE!</v>
      </c>
    </row>
    <row r="23" spans="1:35" ht="14.5" x14ac:dyDescent="0.35">
      <c r="A23" s="265" t="str">
        <f>bpjs!C30</f>
        <v>197902192010012005</v>
      </c>
      <c r="B23" s="266" t="str">
        <f>bank!C29</f>
        <v>PADILAWATI</v>
      </c>
      <c r="C23" s="267">
        <f>bpjs!D30</f>
        <v>0</v>
      </c>
      <c r="D23" s="268" t="str">
        <f>IFERROR(INDEX(rekap_tpp[], MATCH(A23, INDEX(rekap_tpp[], 0, 8), 0), 10), "NIP tidak ditemukan")</f>
        <v>69.552.938.8-315.000</v>
      </c>
      <c r="E23" s="269">
        <f>IFERROR(INDEX(rekap_tpp[], MATCH(A23, INDEX(rekap_tpp[], 0, 8), 0), 9), "NIP tidak ditemukan")</f>
        <v>28905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III/d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1610100879</v>
      </c>
      <c r="Q23" s="273" t="str">
        <f>'rekap nominatif etukin'!C26</f>
        <v>Guru Muda</v>
      </c>
      <c r="R23" s="273">
        <f>'rekap nominatif etukin'!D26</f>
        <v>0</v>
      </c>
      <c r="S23" s="273">
        <f>'rekap nominatif etukin'!E26</f>
        <v>666660</v>
      </c>
      <c r="T23" s="273">
        <f>'rekap nominatif etukin'!F26</f>
        <v>1626000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 t="e">
        <f t="shared" si="0"/>
        <v>#VALUE!</v>
      </c>
      <c r="AD23" s="261"/>
      <c r="AE23" s="274">
        <v>0</v>
      </c>
      <c r="AF23" s="274">
        <v>0</v>
      </c>
      <c r="AG23" s="262" t="e">
        <f t="shared" si="3"/>
        <v>#VALUE!</v>
      </c>
      <c r="AH23" s="275" t="e">
        <f t="shared" si="1"/>
        <v>#VALUE!</v>
      </c>
      <c r="AI23" s="276" t="e">
        <f t="shared" si="2"/>
        <v>#VALUE!</v>
      </c>
    </row>
    <row r="24" spans="1:35" ht="14.5" x14ac:dyDescent="0.35">
      <c r="A24" s="265" t="str">
        <f>bpjs!C31</f>
        <v>197608312006041006</v>
      </c>
      <c r="B24" s="266" t="str">
        <f>bank!C30</f>
        <v>RIZALDI</v>
      </c>
      <c r="C24" s="267">
        <f>bpjs!D31</f>
        <v>0</v>
      </c>
      <c r="D24" s="268" t="str">
        <f>IFERROR(INDEX(rekap_tpp[], MATCH(A24, INDEX(rekap_tpp[], 0, 8), 0), 10), "NIP tidak ditemukan")</f>
        <v>47.631.167.5.315.000</v>
      </c>
      <c r="E24" s="269">
        <f>IFERROR(INDEX(rekap_tpp[], MATCH(A24, INDEX(rekap_tpp[], 0, 8), 0), 9), "NIP tidak ditemukan")</f>
        <v>28003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IV/a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1610104362</v>
      </c>
      <c r="Q24" s="273" t="str">
        <f>'rekap nominatif etukin'!C27</f>
        <v>Guru Ahli Madya</v>
      </c>
      <c r="R24" s="273">
        <f>'rekap nominatif etukin'!D27</f>
        <v>0</v>
      </c>
      <c r="S24" s="273">
        <f>'rekap nominatif etukin'!E27</f>
        <v>569021</v>
      </c>
      <c r="T24" s="273">
        <f>'rekap nominatif etukin'!F27</f>
        <v>1835553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 t="e">
        <f t="shared" si="0"/>
        <v>#VALUE!</v>
      </c>
      <c r="AD24" s="261"/>
      <c r="AE24" s="274">
        <v>0</v>
      </c>
      <c r="AF24" s="274">
        <v>0</v>
      </c>
      <c r="AG24" s="262" t="e">
        <f t="shared" si="3"/>
        <v>#VALUE!</v>
      </c>
      <c r="AH24" s="275" t="e">
        <f t="shared" si="1"/>
        <v>#VALUE!</v>
      </c>
      <c r="AI24" s="276" t="e">
        <f t="shared" si="2"/>
        <v>#VALUE!</v>
      </c>
    </row>
    <row r="25" spans="1:35" ht="14.5" x14ac:dyDescent="0.35">
      <c r="A25" s="265" t="str">
        <f>bpjs!C32</f>
        <v>198112102009032002</v>
      </c>
      <c r="B25" s="266" t="str">
        <f>bank!C31</f>
        <v>SRI HANDAYANI</v>
      </c>
      <c r="C25" s="267">
        <f>bpjs!D32</f>
        <v>0</v>
      </c>
      <c r="D25" s="268" t="str">
        <f>IFERROR(INDEX(rekap_tpp[], MATCH(A25, INDEX(rekap_tpp[], 0, 8), 0), 10), "NIP tidak ditemukan")</f>
        <v>69.552.976.8-315.000</v>
      </c>
      <c r="E25" s="269">
        <f>IFERROR(INDEX(rekap_tpp[], MATCH(A25, INDEX(rekap_tpp[], 0, 8), 0), 9), "NIP tidak ditemukan")</f>
        <v>29930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III/d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1610104840</v>
      </c>
      <c r="Q25" s="273" t="str">
        <f>'rekap nominatif etukin'!C28</f>
        <v>Guru Muda</v>
      </c>
      <c r="R25" s="273">
        <f>'rekap nominatif etukin'!D28</f>
        <v>0</v>
      </c>
      <c r="S25" s="273">
        <f>'rekap nominatif etukin'!E28</f>
        <v>664327</v>
      </c>
      <c r="T25" s="273">
        <f>'rekap nominatif etukin'!F28</f>
        <v>1620309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 t="e">
        <f t="shared" si="0"/>
        <v>#VALUE!</v>
      </c>
      <c r="AD25" s="261"/>
      <c r="AE25" s="274">
        <v>0</v>
      </c>
      <c r="AF25" s="274">
        <v>0</v>
      </c>
      <c r="AG25" s="262" t="e">
        <f t="shared" si="3"/>
        <v>#VALUE!</v>
      </c>
      <c r="AH25" s="275" t="e">
        <f t="shared" si="1"/>
        <v>#VALUE!</v>
      </c>
      <c r="AI25" s="276" t="e">
        <f t="shared" si="2"/>
        <v>#VALUE!</v>
      </c>
    </row>
    <row r="26" spans="1:35" ht="14.5" x14ac:dyDescent="0.35">
      <c r="A26" s="265" t="str">
        <f>bpjs!C33</f>
        <v>197708262006041005</v>
      </c>
      <c r="B26" s="266" t="str">
        <f>bank!C32</f>
        <v>SYAHRYANTO</v>
      </c>
      <c r="C26" s="267">
        <f>bpjs!D33</f>
        <v>0</v>
      </c>
      <c r="D26" s="268" t="str">
        <f>IFERROR(INDEX(rekap_tpp[], MATCH(A26, INDEX(rekap_tpp[], 0, 8), 0), 10), "NIP tidak ditemukan")</f>
        <v>47.631.176.3.315.000</v>
      </c>
      <c r="E26" s="269">
        <f>IFERROR(INDEX(rekap_tpp[], MATCH(A26, INDEX(rekap_tpp[], 0, 8), 0), 9), "NIP tidak ditemukan")</f>
        <v>28363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IV/b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1610102485</v>
      </c>
      <c r="Q26" s="273" t="str">
        <f>'rekap nominatif etukin'!C29</f>
        <v>Kepala Sekolah SMKN 1 Koba Bangka Tengah</v>
      </c>
      <c r="R26" s="273">
        <f>'rekap nominatif etukin'!D29</f>
        <v>0</v>
      </c>
      <c r="S26" s="273">
        <f>'rekap nominatif etukin'!E29</f>
        <v>3289680</v>
      </c>
      <c r="T26" s="273">
        <f>'rekap nominatif etukin'!F29</f>
        <v>4569000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 t="e">
        <f t="shared" si="0"/>
        <v>#VALUE!</v>
      </c>
      <c r="AD26" s="261"/>
      <c r="AE26" s="274">
        <v>0</v>
      </c>
      <c r="AF26" s="274">
        <v>0</v>
      </c>
      <c r="AG26" s="262" t="e">
        <f t="shared" si="3"/>
        <v>#VALUE!</v>
      </c>
      <c r="AH26" s="275" t="e">
        <f t="shared" si="1"/>
        <v>#VALUE!</v>
      </c>
      <c r="AI26" s="276" t="e">
        <f t="shared" si="2"/>
        <v>#VALUE!</v>
      </c>
    </row>
    <row r="27" spans="1:35" ht="14.5" x14ac:dyDescent="0.35">
      <c r="A27" s="265" t="str">
        <f>bpjs!C34</f>
        <v>197009032009032001</v>
      </c>
      <c r="B27" s="266" t="str">
        <f>bank!C33</f>
        <v>SYAMSIAH</v>
      </c>
      <c r="C27" s="267">
        <f>bpjs!D34</f>
        <v>0</v>
      </c>
      <c r="D27" s="268" t="str">
        <f>IFERROR(INDEX(rekap_tpp[], MATCH(A27, INDEX(rekap_tpp[], 0, 8), 0), 10), "NIP tidak ditemukan")</f>
        <v>79.287.650.0-315.000</v>
      </c>
      <c r="E27" s="269">
        <f>IFERROR(INDEX(rekap_tpp[], MATCH(A27, INDEX(rekap_tpp[], 0, 8), 0), 9), "NIP tidak ditemukan")</f>
        <v>25814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1610100141</v>
      </c>
      <c r="Q27" s="273" t="str">
        <f>'rekap nominatif etukin'!C30</f>
        <v>Guru Muda</v>
      </c>
      <c r="R27" s="273">
        <f>'rekap nominatif etukin'!D30</f>
        <v>0</v>
      </c>
      <c r="S27" s="273">
        <f>'rekap nominatif etukin'!E30</f>
        <v>666660</v>
      </c>
      <c r="T27" s="273">
        <f>'rekap nominatif etukin'!F30</f>
        <v>1626000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 t="e">
        <f t="shared" si="0"/>
        <v>#VALUE!</v>
      </c>
      <c r="AD27" s="261"/>
      <c r="AE27" s="274">
        <v>0</v>
      </c>
      <c r="AF27" s="274">
        <v>0</v>
      </c>
      <c r="AG27" s="262" t="e">
        <f t="shared" si="3"/>
        <v>#VALUE!</v>
      </c>
      <c r="AH27" s="275" t="e">
        <f t="shared" si="1"/>
        <v>#VALUE!</v>
      </c>
      <c r="AI27" s="276" t="e">
        <f t="shared" si="2"/>
        <v>#VALUE!</v>
      </c>
    </row>
    <row r="28" spans="1:35" ht="14.5" x14ac:dyDescent="0.35">
      <c r="A28" s="265" t="str">
        <f>bpjs!C35</f>
        <v>197505042010011017</v>
      </c>
      <c r="B28" s="266" t="str">
        <f>bank!C34</f>
        <v>TOTOK SUPRIJADI</v>
      </c>
      <c r="C28" s="267">
        <f>bpjs!D35</f>
        <v>0</v>
      </c>
      <c r="D28" s="268" t="str">
        <f>IFERROR(INDEX(rekap_tpp[], MATCH(A28, INDEX(rekap_tpp[], 0, 8), 0), 10), "NIP tidak ditemukan")</f>
        <v>16.009.469.4-315.000</v>
      </c>
      <c r="E28" s="269">
        <f>IFERROR(INDEX(rekap_tpp[], MATCH(A28, INDEX(rekap_tpp[], 0, 8), 0), 9), "NIP tidak ditemukan")</f>
        <v>27518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1610901665</v>
      </c>
      <c r="Q28" s="273" t="str">
        <f>'rekap nominatif etukin'!C31</f>
        <v>Guru Muda</v>
      </c>
      <c r="R28" s="273">
        <f>'rekap nominatif etukin'!D31</f>
        <v>0</v>
      </c>
      <c r="S28" s="273">
        <f>'rekap nominatif etukin'!E31</f>
        <v>664327</v>
      </c>
      <c r="T28" s="273">
        <f>'rekap nominatif etukin'!F31</f>
        <v>1620309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 t="e">
        <f t="shared" si="0"/>
        <v>#VALUE!</v>
      </c>
      <c r="AD28" s="261"/>
      <c r="AE28" s="274">
        <v>0</v>
      </c>
      <c r="AF28" s="274">
        <v>0</v>
      </c>
      <c r="AG28" s="262" t="e">
        <f t="shared" si="3"/>
        <v>#VALUE!</v>
      </c>
      <c r="AH28" s="275" t="e">
        <f t="shared" si="1"/>
        <v>#VALUE!</v>
      </c>
      <c r="AI28" s="276" t="e">
        <f t="shared" si="2"/>
        <v>#VALUE!</v>
      </c>
    </row>
    <row r="29" spans="1:35" ht="14.5" x14ac:dyDescent="0.35">
      <c r="A29" s="265" t="str">
        <f>bpjs!C36</f>
        <v>198008292009032001</v>
      </c>
      <c r="B29" s="266" t="str">
        <f>bank!C35</f>
        <v>YOPA AGUSTINA</v>
      </c>
      <c r="C29" s="267">
        <f>bpjs!D36</f>
        <v>0</v>
      </c>
      <c r="D29" s="268" t="str">
        <f>IFERROR(INDEX(rekap_tpp[], MATCH(A29, INDEX(rekap_tpp[], 0, 8), 0), 10), "NIP tidak ditemukan")</f>
        <v>67.981.807.0-304.000</v>
      </c>
      <c r="E29" s="269">
        <f>IFERROR(INDEX(rekap_tpp[], MATCH(A29, INDEX(rekap_tpp[], 0, 8), 0), 9), "NIP tidak ditemukan")</f>
        <v>29462</v>
      </c>
      <c r="F29" s="270">
        <v>2</v>
      </c>
      <c r="G29" s="271" t="s">
        <v>142</v>
      </c>
      <c r="H29" s="271">
        <v>0</v>
      </c>
      <c r="I29" s="270">
        <v>1</v>
      </c>
      <c r="J29" s="271" t="str">
        <f>'daftar nominatif'!D39</f>
        <v>III/d</v>
      </c>
      <c r="K29" s="271"/>
      <c r="L29" s="270"/>
      <c r="M29" s="271" t="s">
        <v>143</v>
      </c>
      <c r="N29" s="270">
        <v>120</v>
      </c>
      <c r="O29" s="270" t="s">
        <v>144</v>
      </c>
      <c r="P29" s="272">
        <f>IFERROR(INDEX(rekap_tpp[], MATCH(A29, INDEX(rekap_tpp[], 0, 8), 0), 11), "NIP tidak ditemukan")</f>
        <v>1610104837</v>
      </c>
      <c r="Q29" s="273" t="str">
        <f>'rekap nominatif etukin'!C32</f>
        <v>Guru Muda</v>
      </c>
      <c r="R29" s="273">
        <f>'rekap nominatif etukin'!D32</f>
        <v>0</v>
      </c>
      <c r="S29" s="273">
        <f>'rekap nominatif etukin'!E32</f>
        <v>666660</v>
      </c>
      <c r="T29" s="273">
        <f>'rekap nominatif etukin'!F32</f>
        <v>1626000</v>
      </c>
      <c r="U29" s="273">
        <f>'rekap nominatif etukin'!G32</f>
        <v>0</v>
      </c>
      <c r="V29" s="274">
        <v>0</v>
      </c>
      <c r="W29" s="274">
        <v>0</v>
      </c>
      <c r="X29" s="274">
        <v>0</v>
      </c>
      <c r="Y29" s="274">
        <v>0</v>
      </c>
      <c r="Z29" s="274">
        <v>0</v>
      </c>
      <c r="AA29" s="274">
        <v>0</v>
      </c>
      <c r="AB29" s="261">
        <v>0</v>
      </c>
      <c r="AC29" s="262" t="e">
        <f t="shared" ref="AC29" si="4">AG29*1%</f>
        <v>#VALUE!</v>
      </c>
      <c r="AD29" s="261"/>
      <c r="AE29" s="274">
        <v>0</v>
      </c>
      <c r="AF29" s="274">
        <v>0</v>
      </c>
      <c r="AG29" s="262" t="e">
        <f t="shared" si="3"/>
        <v>#VALUE!</v>
      </c>
      <c r="AH29" s="275" t="e">
        <f t="shared" ref="AH29" si="5">W29+AD29+AC29</f>
        <v>#VALUE!</v>
      </c>
      <c r="AI29" s="276" t="e">
        <f t="shared" ref="AI29" si="6">AG29-AH29</f>
        <v>#VALUE!</v>
      </c>
    </row>
    <row r="30" spans="1:35" s="250" customFormat="1" ht="14.5" x14ac:dyDescent="0.35">
      <c r="A30" s="277"/>
      <c r="B30" s="278"/>
      <c r="C30" s="279"/>
      <c r="D30" s="280"/>
      <c r="E30" s="281"/>
      <c r="F30" s="282"/>
      <c r="G30" s="283"/>
      <c r="H30" s="283"/>
      <c r="I30" s="282"/>
      <c r="J30" s="283"/>
      <c r="K30" s="283"/>
      <c r="L30" s="282"/>
      <c r="M30" s="283"/>
      <c r="N30" s="282"/>
      <c r="O30" s="282"/>
      <c r="P30" s="284"/>
      <c r="Q30" s="285">
        <f>'rekap nominatif etukin'!C33</f>
        <v>0</v>
      </c>
      <c r="R30" s="285">
        <f>'rekap nominatif etukin'!D33</f>
        <v>0</v>
      </c>
      <c r="S30" s="285">
        <f>'rekap nominatif etukin'!E33</f>
        <v>25341145</v>
      </c>
      <c r="T30" s="285">
        <f>'rekap nominatif etukin'!F33</f>
        <v>51726639</v>
      </c>
      <c r="U30" s="285">
        <f>'rekap nominatif etukin'!G33</f>
        <v>0</v>
      </c>
      <c r="V30" s="286">
        <f t="shared" ref="V30:AI30" si="7">SUM(V2:V28)</f>
        <v>0</v>
      </c>
      <c r="W30" s="286">
        <f t="shared" si="7"/>
        <v>0</v>
      </c>
      <c r="X30" s="286">
        <f t="shared" si="7"/>
        <v>0</v>
      </c>
      <c r="Y30" s="286">
        <f t="shared" si="7"/>
        <v>0</v>
      </c>
      <c r="Z30" s="286">
        <f t="shared" si="7"/>
        <v>0</v>
      </c>
      <c r="AA30" s="286">
        <f t="shared" si="7"/>
        <v>0</v>
      </c>
      <c r="AB30" s="263">
        <f t="shared" si="7"/>
        <v>0</v>
      </c>
      <c r="AC30" s="264" t="e">
        <f t="shared" si="7"/>
        <v>#VALUE!</v>
      </c>
      <c r="AD30" s="263">
        <f t="shared" si="7"/>
        <v>0</v>
      </c>
      <c r="AE30" s="286">
        <f t="shared" si="7"/>
        <v>0</v>
      </c>
      <c r="AF30" s="286">
        <f t="shared" si="7"/>
        <v>0</v>
      </c>
      <c r="AG30" s="264">
        <f t="shared" si="3"/>
        <v>0</v>
      </c>
      <c r="AH30" s="287" t="e">
        <f t="shared" si="7"/>
        <v>#VALUE!</v>
      </c>
      <c r="AI30" s="288" t="e">
        <f t="shared" si="7"/>
        <v>#VALUE!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abSelected="1" topLeftCell="D12" zoomScale="66" workbookViewId="0">
      <selection activeCell="F47" sqref="F47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43.36328125" bestFit="1" customWidth="1"/>
    <col min="16" max="16" width="16.6328125" bestFit="1" customWidth="1"/>
    <col min="17" max="17" width="16.36328125" bestFit="1" customWidth="1"/>
    <col min="18" max="18" width="21.7265625" bestFit="1" customWidth="1"/>
    <col min="19" max="19" width="17.7265625" bestFit="1" customWidth="1"/>
    <col min="20" max="20" width="18.453125" bestFit="1" customWidth="1"/>
    <col min="21" max="21" width="24.6328125" bestFit="1" customWidth="1"/>
    <col min="22" max="22" width="17" bestFit="1" customWidth="1"/>
    <col min="23" max="23" width="16.36328125" bestFit="1" customWidth="1"/>
    <col min="24" max="24" width="14.81640625" bestFit="1" customWidth="1"/>
    <col min="25" max="25" width="14.7265625" bestFit="1" customWidth="1"/>
    <col min="26" max="26" width="26.26953125" bestFit="1" customWidth="1"/>
    <col min="27" max="27" width="80.7265625" bestFit="1" customWidth="1"/>
    <col min="28" max="28" width="22.81640625" bestFit="1" customWidth="1"/>
    <col min="29" max="29" width="23.26953125" bestFit="1" customWidth="1"/>
    <col min="30" max="30" width="17" bestFit="1" customWidth="1"/>
    <col min="31" max="31" width="15.26953125" style="183" bestFit="1" customWidth="1"/>
    <col min="32" max="32" width="35.363281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7" t="s">
        <v>102</v>
      </c>
      <c r="B1" s="307" t="s">
        <v>103</v>
      </c>
      <c r="C1" s="307" t="s">
        <v>104</v>
      </c>
      <c r="D1" s="307" t="s">
        <v>105</v>
      </c>
      <c r="E1" s="307" t="s">
        <v>106</v>
      </c>
      <c r="F1" s="307" t="s">
        <v>107</v>
      </c>
      <c r="G1" s="307" t="s">
        <v>101</v>
      </c>
      <c r="H1" s="307" t="s">
        <v>100</v>
      </c>
      <c r="I1" s="307" t="s">
        <v>41</v>
      </c>
      <c r="J1" s="307" t="s">
        <v>42</v>
      </c>
      <c r="K1" s="307" t="s">
        <v>43</v>
      </c>
      <c r="L1" s="307" t="s">
        <v>44</v>
      </c>
      <c r="M1" s="307" t="s">
        <v>108</v>
      </c>
      <c r="N1" s="307" t="s">
        <v>109</v>
      </c>
      <c r="O1" s="307" t="s">
        <v>45</v>
      </c>
      <c r="P1" s="307" t="s">
        <v>46</v>
      </c>
      <c r="Q1" s="307" t="s">
        <v>110</v>
      </c>
      <c r="R1" s="307" t="s">
        <v>47</v>
      </c>
      <c r="S1" s="307" t="s">
        <v>48</v>
      </c>
      <c r="T1" s="307" t="s">
        <v>49</v>
      </c>
      <c r="U1" s="307" t="s">
        <v>50</v>
      </c>
      <c r="V1" s="307" t="s">
        <v>51</v>
      </c>
      <c r="W1" s="307" t="s">
        <v>52</v>
      </c>
      <c r="X1" s="307" t="s">
        <v>111</v>
      </c>
      <c r="Y1" s="307" t="s">
        <v>53</v>
      </c>
      <c r="Z1" s="307" t="s">
        <v>54</v>
      </c>
      <c r="AA1" s="307" t="s">
        <v>55</v>
      </c>
      <c r="AB1" s="307" t="s">
        <v>56</v>
      </c>
      <c r="AC1" s="307" t="s">
        <v>466</v>
      </c>
      <c r="AD1" s="307" t="s">
        <v>467</v>
      </c>
      <c r="AE1" s="307" t="s">
        <v>470</v>
      </c>
      <c r="AF1" s="307" t="s">
        <v>471</v>
      </c>
      <c r="AG1" s="307"/>
      <c r="AH1" s="307"/>
    </row>
    <row r="2" spans="1:34" x14ac:dyDescent="0.35">
      <c r="A2" t="s">
        <v>346</v>
      </c>
      <c r="B2" t="s">
        <v>347</v>
      </c>
      <c r="C2" t="s">
        <v>348</v>
      </c>
      <c r="D2" t="s">
        <v>33</v>
      </c>
      <c r="E2" t="s">
        <v>349</v>
      </c>
      <c r="F2" t="s">
        <v>350</v>
      </c>
      <c r="G2" t="s">
        <v>351</v>
      </c>
      <c r="H2" t="s">
        <v>6</v>
      </c>
      <c r="I2" t="s">
        <v>352</v>
      </c>
      <c r="J2" t="s">
        <v>353</v>
      </c>
      <c r="K2" t="s">
        <v>354</v>
      </c>
      <c r="L2" t="s">
        <v>355</v>
      </c>
      <c r="M2" t="s">
        <v>356</v>
      </c>
      <c r="N2" t="s">
        <v>357</v>
      </c>
      <c r="O2" t="s">
        <v>8</v>
      </c>
      <c r="P2" t="s">
        <v>474</v>
      </c>
      <c r="Q2" t="s">
        <v>358</v>
      </c>
      <c r="R2" t="s">
        <v>359</v>
      </c>
      <c r="S2" t="s">
        <v>468</v>
      </c>
      <c r="T2" t="s">
        <v>360</v>
      </c>
      <c r="U2" t="s">
        <v>469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 t="s">
        <v>371</v>
      </c>
      <c r="AG2" t="s">
        <v>372</v>
      </c>
      <c r="AH2" t="s">
        <v>373</v>
      </c>
    </row>
    <row r="3" spans="1:34" x14ac:dyDescent="0.35">
      <c r="A3" s="289" t="s">
        <v>374</v>
      </c>
      <c r="B3" s="289" t="s">
        <v>175</v>
      </c>
      <c r="C3" s="289" t="s">
        <v>176</v>
      </c>
      <c r="D3" s="183">
        <v>9</v>
      </c>
      <c r="E3" s="183">
        <v>1626000</v>
      </c>
      <c r="F3" s="183">
        <v>0</v>
      </c>
      <c r="G3" s="183">
        <v>1626000</v>
      </c>
      <c r="H3" s="289" t="s">
        <v>186</v>
      </c>
      <c r="I3" s="305">
        <v>26394</v>
      </c>
      <c r="J3" s="289" t="s">
        <v>227</v>
      </c>
      <c r="K3" s="183">
        <v>1610102532</v>
      </c>
      <c r="L3" s="289" t="s">
        <v>375</v>
      </c>
      <c r="M3" s="183">
        <v>5452600</v>
      </c>
      <c r="N3" s="289" t="s">
        <v>376</v>
      </c>
      <c r="O3" t="s">
        <v>176</v>
      </c>
      <c r="P3">
        <v>1626000</v>
      </c>
      <c r="Q3" s="183">
        <v>666660</v>
      </c>
      <c r="R3" s="183">
        <v>0</v>
      </c>
      <c r="S3">
        <v>0</v>
      </c>
      <c r="T3" s="183">
        <v>959340</v>
      </c>
      <c r="U3">
        <v>0</v>
      </c>
      <c r="V3" s="289" t="s">
        <v>264</v>
      </c>
      <c r="W3" s="183">
        <v>2</v>
      </c>
      <c r="X3" s="183">
        <v>1</v>
      </c>
      <c r="Y3" s="289" t="s">
        <v>175</v>
      </c>
      <c r="Z3" s="183">
        <v>24</v>
      </c>
      <c r="AA3" s="289" t="s">
        <v>377</v>
      </c>
      <c r="AB3" s="183">
        <v>1</v>
      </c>
      <c r="AC3" s="183">
        <v>1</v>
      </c>
      <c r="AD3" s="183">
        <v>1</v>
      </c>
      <c r="AE3" s="289" t="s">
        <v>378</v>
      </c>
      <c r="AF3" s="183">
        <v>1610102532</v>
      </c>
      <c r="AG3" s="289" t="s">
        <v>379</v>
      </c>
      <c r="AH3" s="183">
        <v>83635</v>
      </c>
    </row>
    <row r="4" spans="1:34" x14ac:dyDescent="0.35">
      <c r="A4" s="289" t="s">
        <v>380</v>
      </c>
      <c r="B4" s="289" t="s">
        <v>180</v>
      </c>
      <c r="C4" s="289" t="s">
        <v>182</v>
      </c>
      <c r="D4" s="183">
        <v>8</v>
      </c>
      <c r="E4" s="183">
        <v>1606000</v>
      </c>
      <c r="F4" s="183">
        <v>92345</v>
      </c>
      <c r="G4" s="183">
        <v>1513655</v>
      </c>
      <c r="H4" s="289" t="s">
        <v>203</v>
      </c>
      <c r="I4" s="305">
        <v>31669</v>
      </c>
      <c r="J4" s="289" t="s">
        <v>241</v>
      </c>
      <c r="K4" s="183">
        <v>16109001439</v>
      </c>
      <c r="L4" s="289" t="s">
        <v>375</v>
      </c>
      <c r="M4" s="183">
        <v>3513600</v>
      </c>
      <c r="N4" s="289" t="s">
        <v>381</v>
      </c>
      <c r="O4" t="s">
        <v>182</v>
      </c>
      <c r="P4">
        <v>1606000</v>
      </c>
      <c r="Q4" s="183">
        <v>835120</v>
      </c>
      <c r="R4" s="183">
        <v>0</v>
      </c>
      <c r="S4">
        <v>0</v>
      </c>
      <c r="T4" s="183">
        <v>770880</v>
      </c>
      <c r="U4">
        <v>0</v>
      </c>
      <c r="V4" s="289" t="s">
        <v>281</v>
      </c>
      <c r="W4" s="183">
        <v>2</v>
      </c>
      <c r="X4" s="183">
        <v>1</v>
      </c>
      <c r="Y4" s="289" t="s">
        <v>180</v>
      </c>
      <c r="Z4" s="183">
        <v>6</v>
      </c>
      <c r="AA4" s="289" t="s">
        <v>382</v>
      </c>
      <c r="AB4" s="183">
        <v>2</v>
      </c>
      <c r="AC4" s="183">
        <v>0</v>
      </c>
      <c r="AD4" s="183">
        <v>0</v>
      </c>
      <c r="AE4" s="289" t="s">
        <v>378</v>
      </c>
      <c r="AF4" s="183">
        <v>16109001439</v>
      </c>
      <c r="AG4" s="289" t="s">
        <v>379</v>
      </c>
    </row>
    <row r="5" spans="1:34" x14ac:dyDescent="0.35">
      <c r="A5" s="289" t="s">
        <v>383</v>
      </c>
      <c r="B5" s="289" t="s">
        <v>183</v>
      </c>
      <c r="C5" s="289" t="s">
        <v>321</v>
      </c>
      <c r="D5" s="183">
        <v>8</v>
      </c>
      <c r="E5" s="183">
        <v>1100000</v>
      </c>
      <c r="F5" s="183">
        <v>3850</v>
      </c>
      <c r="G5" s="183">
        <v>1096150</v>
      </c>
      <c r="H5" s="289" t="s">
        <v>211</v>
      </c>
      <c r="I5" s="305">
        <v>24572</v>
      </c>
      <c r="J5" s="289" t="s">
        <v>248</v>
      </c>
      <c r="K5" s="183">
        <v>1610800075</v>
      </c>
      <c r="L5" s="289" t="s">
        <v>375</v>
      </c>
      <c r="M5" s="183">
        <v>4076400</v>
      </c>
      <c r="N5" s="289" t="s">
        <v>384</v>
      </c>
      <c r="O5" t="s">
        <v>321</v>
      </c>
      <c r="P5">
        <v>1100000</v>
      </c>
      <c r="Q5" s="183">
        <v>1100000</v>
      </c>
      <c r="R5" s="183">
        <v>0</v>
      </c>
      <c r="S5">
        <v>0</v>
      </c>
      <c r="T5" s="183">
        <v>0</v>
      </c>
      <c r="U5">
        <v>0</v>
      </c>
      <c r="V5" s="289" t="s">
        <v>289</v>
      </c>
      <c r="W5" s="183">
        <v>2</v>
      </c>
      <c r="X5" s="183">
        <v>2</v>
      </c>
      <c r="Y5" s="289" t="s">
        <v>385</v>
      </c>
      <c r="Z5" s="183">
        <v>2</v>
      </c>
      <c r="AA5" s="289" t="s">
        <v>386</v>
      </c>
      <c r="AB5" s="183">
        <v>1</v>
      </c>
      <c r="AC5" s="183">
        <v>1</v>
      </c>
      <c r="AD5" s="183">
        <v>0</v>
      </c>
      <c r="AE5" s="289" t="s">
        <v>378</v>
      </c>
      <c r="AF5" s="183">
        <v>1610800075</v>
      </c>
      <c r="AG5" s="289" t="s">
        <v>379</v>
      </c>
    </row>
    <row r="6" spans="1:34" x14ac:dyDescent="0.35">
      <c r="A6" s="289" t="s">
        <v>387</v>
      </c>
      <c r="B6" s="289" t="s">
        <v>183</v>
      </c>
      <c r="C6" s="289" t="s">
        <v>321</v>
      </c>
      <c r="D6" s="183">
        <v>8</v>
      </c>
      <c r="E6" s="183">
        <v>1000000</v>
      </c>
      <c r="F6" s="183">
        <v>144000</v>
      </c>
      <c r="G6" s="183">
        <v>856000</v>
      </c>
      <c r="H6" s="289" t="s">
        <v>223</v>
      </c>
      <c r="I6" s="305">
        <v>36358</v>
      </c>
      <c r="J6" s="289" t="s">
        <v>260</v>
      </c>
      <c r="K6" s="183">
        <v>1440966672</v>
      </c>
      <c r="L6" s="289" t="s">
        <v>375</v>
      </c>
      <c r="M6" s="183">
        <v>3961800</v>
      </c>
      <c r="N6" s="289" t="s">
        <v>384</v>
      </c>
      <c r="O6" t="s">
        <v>321</v>
      </c>
      <c r="P6">
        <v>1000000</v>
      </c>
      <c r="Q6" s="183">
        <v>1000000</v>
      </c>
      <c r="R6" s="183">
        <v>0</v>
      </c>
      <c r="S6">
        <v>0</v>
      </c>
      <c r="T6" s="183">
        <v>0</v>
      </c>
      <c r="U6">
        <v>0</v>
      </c>
      <c r="V6" s="289" t="s">
        <v>301</v>
      </c>
      <c r="W6" s="183">
        <v>2</v>
      </c>
      <c r="X6" s="183">
        <v>2</v>
      </c>
      <c r="Y6" s="289" t="s">
        <v>385</v>
      </c>
      <c r="Z6" s="183">
        <v>0</v>
      </c>
      <c r="AA6" s="289" t="s">
        <v>388</v>
      </c>
      <c r="AB6" s="183">
        <v>1</v>
      </c>
      <c r="AC6" s="183">
        <v>1</v>
      </c>
      <c r="AD6" s="183">
        <v>0</v>
      </c>
      <c r="AE6" s="289" t="s">
        <v>378</v>
      </c>
      <c r="AF6" s="183">
        <v>1440966672</v>
      </c>
      <c r="AG6" s="289" t="s">
        <v>379</v>
      </c>
    </row>
    <row r="7" spans="1:34" x14ac:dyDescent="0.35">
      <c r="A7" s="289" t="s">
        <v>389</v>
      </c>
      <c r="B7" s="289" t="s">
        <v>180</v>
      </c>
      <c r="C7" s="289" t="s">
        <v>182</v>
      </c>
      <c r="D7" s="183">
        <v>8</v>
      </c>
      <c r="E7" s="183">
        <v>1606000</v>
      </c>
      <c r="F7" s="183">
        <v>5621</v>
      </c>
      <c r="G7" s="183">
        <v>1600379</v>
      </c>
      <c r="H7" s="289" t="s">
        <v>209</v>
      </c>
      <c r="I7" s="305">
        <v>32895</v>
      </c>
      <c r="J7" s="289" t="s">
        <v>247</v>
      </c>
      <c r="K7" s="183">
        <v>15509001575</v>
      </c>
      <c r="L7" s="289" t="s">
        <v>375</v>
      </c>
      <c r="M7" s="183">
        <v>3959700</v>
      </c>
      <c r="N7" s="289" t="s">
        <v>390</v>
      </c>
      <c r="O7" t="s">
        <v>182</v>
      </c>
      <c r="P7">
        <v>1606000</v>
      </c>
      <c r="Q7" s="183">
        <v>835120</v>
      </c>
      <c r="R7" s="183">
        <v>0</v>
      </c>
      <c r="S7">
        <v>0</v>
      </c>
      <c r="T7" s="183">
        <v>770880</v>
      </c>
      <c r="U7">
        <v>0</v>
      </c>
      <c r="V7" s="289" t="s">
        <v>287</v>
      </c>
      <c r="W7" s="183">
        <v>2</v>
      </c>
      <c r="X7" s="183">
        <v>1</v>
      </c>
      <c r="Y7" s="289" t="s">
        <v>180</v>
      </c>
      <c r="Z7" s="183">
        <v>6</v>
      </c>
      <c r="AA7" s="289" t="s">
        <v>391</v>
      </c>
      <c r="AB7" s="183">
        <v>1</v>
      </c>
      <c r="AC7" s="183">
        <v>1</v>
      </c>
      <c r="AD7" s="183">
        <v>2</v>
      </c>
      <c r="AE7" s="289" t="s">
        <v>378</v>
      </c>
      <c r="AF7" s="183">
        <v>15509001575</v>
      </c>
      <c r="AG7" s="289" t="s">
        <v>379</v>
      </c>
    </row>
    <row r="8" spans="1:34" x14ac:dyDescent="0.35">
      <c r="A8" s="289" t="s">
        <v>392</v>
      </c>
      <c r="B8" s="289" t="s">
        <v>183</v>
      </c>
      <c r="C8" s="289" t="s">
        <v>321</v>
      </c>
      <c r="D8" s="183">
        <v>8</v>
      </c>
      <c r="E8" s="183">
        <v>1000000</v>
      </c>
      <c r="F8" s="183">
        <v>94500</v>
      </c>
      <c r="G8" s="183">
        <v>905500</v>
      </c>
      <c r="H8" s="289" t="s">
        <v>219</v>
      </c>
      <c r="I8" s="305">
        <v>34083</v>
      </c>
      <c r="J8" s="289" t="s">
        <v>256</v>
      </c>
      <c r="K8" s="183">
        <v>16109012254</v>
      </c>
      <c r="L8" s="289" t="s">
        <v>375</v>
      </c>
      <c r="M8" s="183">
        <v>4144500</v>
      </c>
      <c r="N8" s="289" t="s">
        <v>376</v>
      </c>
      <c r="O8" t="s">
        <v>321</v>
      </c>
      <c r="P8">
        <v>996500</v>
      </c>
      <c r="Q8" s="183">
        <v>996500</v>
      </c>
      <c r="R8" s="183">
        <v>0</v>
      </c>
      <c r="S8">
        <v>0</v>
      </c>
      <c r="T8" s="183">
        <v>0</v>
      </c>
      <c r="U8">
        <v>0</v>
      </c>
      <c r="V8" s="289" t="s">
        <v>297</v>
      </c>
      <c r="W8" s="183">
        <v>2</v>
      </c>
      <c r="X8" s="183">
        <v>2</v>
      </c>
      <c r="Y8" s="289" t="s">
        <v>385</v>
      </c>
      <c r="Z8" s="183">
        <v>2</v>
      </c>
      <c r="AA8" s="289" t="s">
        <v>393</v>
      </c>
      <c r="AB8" s="183">
        <v>1</v>
      </c>
      <c r="AC8" s="183">
        <v>1</v>
      </c>
      <c r="AD8" s="183">
        <v>1</v>
      </c>
      <c r="AE8" s="289" t="s">
        <v>378</v>
      </c>
      <c r="AF8" s="183">
        <v>1610905992</v>
      </c>
      <c r="AG8" s="289" t="s">
        <v>379</v>
      </c>
    </row>
    <row r="9" spans="1:34" x14ac:dyDescent="0.35">
      <c r="A9" s="289" t="s">
        <v>394</v>
      </c>
      <c r="B9" s="289" t="s">
        <v>175</v>
      </c>
      <c r="C9" s="289" t="s">
        <v>176</v>
      </c>
      <c r="D9" s="183">
        <v>9</v>
      </c>
      <c r="E9" s="183">
        <v>1626000</v>
      </c>
      <c r="F9" s="183">
        <v>110568</v>
      </c>
      <c r="G9" s="183">
        <v>1515432</v>
      </c>
      <c r="H9" s="289" t="s">
        <v>202</v>
      </c>
      <c r="I9" s="305">
        <v>31444</v>
      </c>
      <c r="J9" s="289" t="s">
        <v>240</v>
      </c>
      <c r="K9" s="183">
        <v>16109012278</v>
      </c>
      <c r="L9" s="289" t="s">
        <v>375</v>
      </c>
      <c r="M9" s="183">
        <v>4658300</v>
      </c>
      <c r="N9" s="289" t="s">
        <v>390</v>
      </c>
      <c r="O9" t="s">
        <v>176</v>
      </c>
      <c r="P9">
        <v>1626000</v>
      </c>
      <c r="Q9" s="183">
        <v>666660</v>
      </c>
      <c r="R9" s="183">
        <v>0</v>
      </c>
      <c r="S9">
        <v>0</v>
      </c>
      <c r="T9" s="183">
        <v>959340</v>
      </c>
      <c r="U9">
        <v>0</v>
      </c>
      <c r="V9" s="289" t="s">
        <v>280</v>
      </c>
      <c r="W9" s="183">
        <v>2</v>
      </c>
      <c r="X9" s="183">
        <v>1</v>
      </c>
      <c r="Y9" s="289" t="s">
        <v>175</v>
      </c>
      <c r="Z9" s="183">
        <v>10</v>
      </c>
      <c r="AA9" s="289" t="s">
        <v>395</v>
      </c>
      <c r="AB9" s="183">
        <v>1</v>
      </c>
      <c r="AC9" s="183">
        <v>1</v>
      </c>
      <c r="AD9" s="183">
        <v>2</v>
      </c>
      <c r="AE9" s="289" t="s">
        <v>378</v>
      </c>
      <c r="AF9" s="183">
        <v>1610905249</v>
      </c>
      <c r="AG9" s="289" t="s">
        <v>379</v>
      </c>
      <c r="AH9" s="183">
        <v>66618</v>
      </c>
    </row>
    <row r="10" spans="1:34" x14ac:dyDescent="0.35">
      <c r="A10" s="289" t="s">
        <v>396</v>
      </c>
      <c r="B10" s="289" t="s">
        <v>175</v>
      </c>
      <c r="C10" s="289" t="s">
        <v>176</v>
      </c>
      <c r="D10" s="183">
        <v>9</v>
      </c>
      <c r="E10" s="183">
        <v>1626000</v>
      </c>
      <c r="F10" s="183">
        <v>5691</v>
      </c>
      <c r="G10" s="183">
        <v>1620309</v>
      </c>
      <c r="H10" s="289" t="s">
        <v>193</v>
      </c>
      <c r="I10" s="305">
        <v>29660</v>
      </c>
      <c r="J10" s="289" t="s">
        <v>232</v>
      </c>
      <c r="K10" s="183">
        <v>1610105556</v>
      </c>
      <c r="L10" s="289" t="s">
        <v>375</v>
      </c>
      <c r="M10" s="183">
        <v>5080700</v>
      </c>
      <c r="N10" s="289" t="s">
        <v>390</v>
      </c>
      <c r="O10" t="s">
        <v>176</v>
      </c>
      <c r="P10">
        <v>1614618</v>
      </c>
      <c r="Q10" s="183">
        <v>661993</v>
      </c>
      <c r="R10" s="183">
        <v>0</v>
      </c>
      <c r="S10">
        <v>0</v>
      </c>
      <c r="T10" s="183">
        <v>952625</v>
      </c>
      <c r="U10">
        <v>0</v>
      </c>
      <c r="V10" s="289" t="s">
        <v>271</v>
      </c>
      <c r="W10" s="183">
        <v>2</v>
      </c>
      <c r="X10" s="183">
        <v>1</v>
      </c>
      <c r="Y10" s="289" t="s">
        <v>175</v>
      </c>
      <c r="Z10" s="183">
        <v>16</v>
      </c>
      <c r="AA10" s="289" t="s">
        <v>397</v>
      </c>
      <c r="AB10" s="183">
        <v>1</v>
      </c>
      <c r="AC10" s="183">
        <v>1</v>
      </c>
      <c r="AD10" s="183">
        <v>2</v>
      </c>
      <c r="AE10" s="289" t="s">
        <v>378</v>
      </c>
      <c r="AF10" s="183">
        <v>1610105556</v>
      </c>
      <c r="AG10" s="289" t="s">
        <v>379</v>
      </c>
      <c r="AH10" s="183">
        <v>76207</v>
      </c>
    </row>
    <row r="11" spans="1:34" x14ac:dyDescent="0.35">
      <c r="A11" s="289" t="s">
        <v>398</v>
      </c>
      <c r="B11" s="289" t="s">
        <v>175</v>
      </c>
      <c r="C11" s="289" t="s">
        <v>176</v>
      </c>
      <c r="D11" s="183">
        <v>9</v>
      </c>
      <c r="E11" s="183">
        <v>1626000</v>
      </c>
      <c r="F11" s="183">
        <v>0</v>
      </c>
      <c r="G11" s="183">
        <v>1626000</v>
      </c>
      <c r="H11" s="289" t="s">
        <v>207</v>
      </c>
      <c r="I11" s="305">
        <v>32416</v>
      </c>
      <c r="J11" s="289" t="s">
        <v>245</v>
      </c>
      <c r="K11" s="183">
        <v>1610107829</v>
      </c>
      <c r="L11" s="289" t="s">
        <v>375</v>
      </c>
      <c r="M11" s="183">
        <v>4658300</v>
      </c>
      <c r="N11" s="289" t="s">
        <v>390</v>
      </c>
      <c r="O11" t="s">
        <v>176</v>
      </c>
      <c r="P11">
        <v>1626000</v>
      </c>
      <c r="Q11" s="183">
        <v>666660</v>
      </c>
      <c r="R11" s="183">
        <v>0</v>
      </c>
      <c r="S11">
        <v>0</v>
      </c>
      <c r="T11" s="183">
        <v>959340</v>
      </c>
      <c r="U11">
        <v>0</v>
      </c>
      <c r="V11" s="289" t="s">
        <v>285</v>
      </c>
      <c r="W11" s="183">
        <v>2</v>
      </c>
      <c r="X11" s="183">
        <v>1</v>
      </c>
      <c r="Y11" s="289" t="s">
        <v>175</v>
      </c>
      <c r="Z11" s="183">
        <v>12</v>
      </c>
      <c r="AA11" s="289" t="s">
        <v>399</v>
      </c>
      <c r="AB11" s="183">
        <v>1</v>
      </c>
      <c r="AC11" s="183">
        <v>1</v>
      </c>
      <c r="AD11" s="183">
        <v>2</v>
      </c>
      <c r="AE11" s="289" t="s">
        <v>378</v>
      </c>
      <c r="AF11" s="183">
        <v>1610107829</v>
      </c>
      <c r="AG11" s="289" t="s">
        <v>379</v>
      </c>
      <c r="AH11" s="183">
        <v>67405</v>
      </c>
    </row>
    <row r="12" spans="1:34" x14ac:dyDescent="0.35">
      <c r="A12" s="289" t="s">
        <v>400</v>
      </c>
      <c r="B12" s="289" t="s">
        <v>177</v>
      </c>
      <c r="C12" s="289" t="s">
        <v>178</v>
      </c>
      <c r="D12" s="183">
        <v>11</v>
      </c>
      <c r="E12" s="183">
        <v>1842000</v>
      </c>
      <c r="F12" s="183">
        <v>194331</v>
      </c>
      <c r="G12" s="183">
        <v>1647669</v>
      </c>
      <c r="H12" s="289" t="s">
        <v>200</v>
      </c>
      <c r="I12" s="305">
        <v>30970</v>
      </c>
      <c r="J12" s="289" t="s">
        <v>238</v>
      </c>
      <c r="K12" s="183">
        <v>16109012398</v>
      </c>
      <c r="L12" s="289" t="s">
        <v>375</v>
      </c>
      <c r="M12" s="183">
        <v>5343700</v>
      </c>
      <c r="N12" s="289" t="s">
        <v>390</v>
      </c>
      <c r="O12" t="s">
        <v>178</v>
      </c>
      <c r="P12">
        <v>1814370</v>
      </c>
      <c r="Q12" s="183">
        <v>562455</v>
      </c>
      <c r="R12" s="183">
        <v>0</v>
      </c>
      <c r="S12">
        <v>0</v>
      </c>
      <c r="T12" s="183">
        <v>1251915</v>
      </c>
      <c r="U12">
        <v>0</v>
      </c>
      <c r="V12" s="289" t="s">
        <v>278</v>
      </c>
      <c r="W12" s="183">
        <v>2</v>
      </c>
      <c r="X12" s="183">
        <v>1</v>
      </c>
      <c r="Y12" s="289" t="s">
        <v>177</v>
      </c>
      <c r="Z12" s="183">
        <v>17</v>
      </c>
      <c r="AA12" s="289" t="s">
        <v>401</v>
      </c>
      <c r="AB12" s="183">
        <v>1</v>
      </c>
      <c r="AC12" s="183">
        <v>1</v>
      </c>
      <c r="AD12" s="183">
        <v>2</v>
      </c>
      <c r="AE12" s="289" t="s">
        <v>378</v>
      </c>
      <c r="AF12" s="183">
        <v>1610906028</v>
      </c>
      <c r="AG12" s="289" t="s">
        <v>379</v>
      </c>
      <c r="AH12" s="183">
        <v>76207</v>
      </c>
    </row>
    <row r="13" spans="1:34" x14ac:dyDescent="0.35">
      <c r="A13" s="289" t="s">
        <v>402</v>
      </c>
      <c r="B13" s="289" t="s">
        <v>175</v>
      </c>
      <c r="C13" s="289" t="s">
        <v>176</v>
      </c>
      <c r="D13" s="183">
        <v>9</v>
      </c>
      <c r="E13" s="183">
        <v>1626000</v>
      </c>
      <c r="F13" s="183">
        <v>58536</v>
      </c>
      <c r="G13" s="183">
        <v>1567464</v>
      </c>
      <c r="H13" s="289" t="s">
        <v>205</v>
      </c>
      <c r="I13" s="305">
        <v>31774</v>
      </c>
      <c r="J13" s="289" t="s">
        <v>243</v>
      </c>
      <c r="K13" s="183">
        <v>16109012246</v>
      </c>
      <c r="L13" s="289" t="s">
        <v>375</v>
      </c>
      <c r="M13" s="183">
        <v>4716400</v>
      </c>
      <c r="N13" s="289" t="s">
        <v>376</v>
      </c>
      <c r="O13" t="s">
        <v>176</v>
      </c>
      <c r="P13">
        <v>1620309</v>
      </c>
      <c r="Q13" s="183">
        <v>664327</v>
      </c>
      <c r="R13" s="183">
        <v>0</v>
      </c>
      <c r="S13">
        <v>0</v>
      </c>
      <c r="T13" s="183">
        <v>955982</v>
      </c>
      <c r="U13">
        <v>0</v>
      </c>
      <c r="V13" s="289" t="s">
        <v>283</v>
      </c>
      <c r="W13" s="183">
        <v>2</v>
      </c>
      <c r="X13" s="183">
        <v>1</v>
      </c>
      <c r="Y13" s="289" t="s">
        <v>175</v>
      </c>
      <c r="Z13" s="183">
        <v>14</v>
      </c>
      <c r="AA13" s="289" t="s">
        <v>403</v>
      </c>
      <c r="AB13" s="183">
        <v>1</v>
      </c>
      <c r="AC13" s="183">
        <v>1</v>
      </c>
      <c r="AD13" s="183">
        <v>1</v>
      </c>
      <c r="AE13" s="289" t="s">
        <v>378</v>
      </c>
      <c r="AF13" s="183">
        <v>1610106971</v>
      </c>
      <c r="AG13" s="289" t="s">
        <v>379</v>
      </c>
      <c r="AH13" s="183">
        <v>68716</v>
      </c>
    </row>
    <row r="14" spans="1:34" x14ac:dyDescent="0.35">
      <c r="A14" s="289" t="s">
        <v>404</v>
      </c>
      <c r="B14" s="289" t="s">
        <v>177</v>
      </c>
      <c r="C14" s="289" t="s">
        <v>178</v>
      </c>
      <c r="D14" s="183">
        <v>11</v>
      </c>
      <c r="E14" s="183">
        <v>1842000</v>
      </c>
      <c r="F14" s="183">
        <v>0</v>
      </c>
      <c r="G14" s="183">
        <v>1842000</v>
      </c>
      <c r="H14" s="289" t="s">
        <v>196</v>
      </c>
      <c r="I14" s="305">
        <v>29830</v>
      </c>
      <c r="J14" s="289" t="s">
        <v>320</v>
      </c>
      <c r="K14" s="183">
        <v>1610106580</v>
      </c>
      <c r="L14" s="289" t="s">
        <v>375</v>
      </c>
      <c r="M14" s="183">
        <v>5343700</v>
      </c>
      <c r="N14" s="289" t="s">
        <v>390</v>
      </c>
      <c r="O14" t="s">
        <v>178</v>
      </c>
      <c r="P14">
        <v>1835553</v>
      </c>
      <c r="Q14" s="183">
        <v>569021</v>
      </c>
      <c r="R14" s="183">
        <v>0</v>
      </c>
      <c r="S14">
        <v>0</v>
      </c>
      <c r="T14" s="183">
        <v>1266532</v>
      </c>
      <c r="U14">
        <v>0</v>
      </c>
      <c r="V14" s="289" t="s">
        <v>274</v>
      </c>
      <c r="W14" s="183">
        <v>2</v>
      </c>
      <c r="X14" s="183">
        <v>1</v>
      </c>
      <c r="Y14" s="289" t="s">
        <v>177</v>
      </c>
      <c r="Z14" s="183">
        <v>17</v>
      </c>
      <c r="AA14" s="289" t="s">
        <v>405</v>
      </c>
      <c r="AB14" s="183">
        <v>1</v>
      </c>
      <c r="AC14" s="183">
        <v>1</v>
      </c>
      <c r="AD14" s="183">
        <v>2</v>
      </c>
      <c r="AE14" s="289" t="s">
        <v>378</v>
      </c>
      <c r="AF14" s="183">
        <v>1610106580</v>
      </c>
      <c r="AG14" s="289" t="s">
        <v>379</v>
      </c>
      <c r="AH14" s="183">
        <v>76207</v>
      </c>
    </row>
    <row r="15" spans="1:34" x14ac:dyDescent="0.35">
      <c r="A15" s="289" t="s">
        <v>406</v>
      </c>
      <c r="B15" s="289" t="s">
        <v>175</v>
      </c>
      <c r="C15" s="289" t="s">
        <v>407</v>
      </c>
      <c r="D15" s="183">
        <v>8</v>
      </c>
      <c r="E15" s="183">
        <v>4743000</v>
      </c>
      <c r="F15" s="183">
        <v>0</v>
      </c>
      <c r="G15" s="183">
        <v>4743000</v>
      </c>
      <c r="H15" s="289" t="s">
        <v>210</v>
      </c>
      <c r="I15" s="305">
        <v>27198</v>
      </c>
      <c r="J15" s="289" t="s">
        <v>472</v>
      </c>
      <c r="K15" s="183">
        <v>1440105481</v>
      </c>
      <c r="L15" s="289" t="s">
        <v>473</v>
      </c>
      <c r="M15" s="183">
        <v>5821400</v>
      </c>
      <c r="N15" s="289" t="s">
        <v>390</v>
      </c>
      <c r="O15" t="s">
        <v>407</v>
      </c>
      <c r="P15">
        <v>4743000</v>
      </c>
      <c r="Q15" s="183">
        <v>3984120</v>
      </c>
      <c r="R15" s="183">
        <v>0</v>
      </c>
      <c r="S15">
        <v>0</v>
      </c>
      <c r="T15" s="183">
        <v>758880</v>
      </c>
      <c r="U15">
        <v>0</v>
      </c>
      <c r="V15" s="289" t="s">
        <v>288</v>
      </c>
      <c r="W15" s="183">
        <v>2</v>
      </c>
      <c r="X15" s="183">
        <v>1</v>
      </c>
      <c r="Y15" s="289" t="s">
        <v>175</v>
      </c>
      <c r="Z15" s="183">
        <v>18</v>
      </c>
      <c r="AA15" s="289" t="s">
        <v>408</v>
      </c>
      <c r="AB15" s="183">
        <v>1</v>
      </c>
      <c r="AC15" s="183">
        <v>1</v>
      </c>
      <c r="AD15" s="183">
        <v>2</v>
      </c>
      <c r="AE15" s="289" t="s">
        <v>378</v>
      </c>
      <c r="AF15" s="183">
        <v>1440105481</v>
      </c>
      <c r="AG15" s="289" t="s">
        <v>379</v>
      </c>
    </row>
    <row r="16" spans="1:34" x14ac:dyDescent="0.35">
      <c r="A16" s="289" t="s">
        <v>409</v>
      </c>
      <c r="B16" s="289" t="s">
        <v>180</v>
      </c>
      <c r="C16" s="289" t="s">
        <v>182</v>
      </c>
      <c r="D16" s="183">
        <v>8</v>
      </c>
      <c r="E16" s="183">
        <v>1606000</v>
      </c>
      <c r="F16" s="183">
        <v>57816</v>
      </c>
      <c r="G16" s="183">
        <v>1548184</v>
      </c>
      <c r="H16" s="289" t="s">
        <v>195</v>
      </c>
      <c r="I16" s="305">
        <v>29823</v>
      </c>
      <c r="J16" s="289" t="s">
        <v>234</v>
      </c>
      <c r="K16" s="183">
        <v>1460107125</v>
      </c>
      <c r="L16" s="289" t="s">
        <v>375</v>
      </c>
      <c r="M16" s="183">
        <v>3934500</v>
      </c>
      <c r="N16" s="289" t="s">
        <v>381</v>
      </c>
      <c r="O16" t="s">
        <v>182</v>
      </c>
      <c r="P16">
        <v>1606000</v>
      </c>
      <c r="Q16" s="183">
        <v>835120</v>
      </c>
      <c r="R16" s="183">
        <v>0</v>
      </c>
      <c r="S16">
        <v>0</v>
      </c>
      <c r="T16" s="183">
        <v>770880</v>
      </c>
      <c r="U16">
        <v>0</v>
      </c>
      <c r="V16" s="289" t="s">
        <v>273</v>
      </c>
      <c r="W16" s="183">
        <v>2</v>
      </c>
      <c r="X16" s="183">
        <v>1</v>
      </c>
      <c r="Y16" s="289" t="s">
        <v>180</v>
      </c>
      <c r="Z16" s="183">
        <v>14</v>
      </c>
      <c r="AA16" s="289" t="s">
        <v>410</v>
      </c>
      <c r="AB16" s="183">
        <v>2</v>
      </c>
      <c r="AC16" s="183">
        <v>0</v>
      </c>
      <c r="AD16" s="183">
        <v>0</v>
      </c>
      <c r="AE16" s="289" t="s">
        <v>378</v>
      </c>
      <c r="AF16" s="183">
        <v>1460107125</v>
      </c>
      <c r="AG16" s="289" t="s">
        <v>379</v>
      </c>
    </row>
    <row r="17" spans="1:34" x14ac:dyDescent="0.35">
      <c r="A17" s="289" t="s">
        <v>411</v>
      </c>
      <c r="B17" s="289" t="s">
        <v>183</v>
      </c>
      <c r="C17" s="289" t="s">
        <v>321</v>
      </c>
      <c r="D17" s="183">
        <v>8</v>
      </c>
      <c r="E17" s="183">
        <v>1000000</v>
      </c>
      <c r="F17" s="183">
        <v>718000</v>
      </c>
      <c r="G17" s="183">
        <v>282000</v>
      </c>
      <c r="H17" s="289" t="s">
        <v>214</v>
      </c>
      <c r="I17" s="305">
        <v>32690</v>
      </c>
      <c r="J17" s="289" t="s">
        <v>251</v>
      </c>
      <c r="K17" s="183">
        <v>16109000456</v>
      </c>
      <c r="L17" s="289" t="s">
        <v>375</v>
      </c>
      <c r="M17" s="183">
        <v>3631400</v>
      </c>
      <c r="N17" s="289" t="s">
        <v>381</v>
      </c>
      <c r="O17" t="s">
        <v>321</v>
      </c>
      <c r="P17">
        <v>1000000</v>
      </c>
      <c r="Q17" s="183">
        <v>1000000</v>
      </c>
      <c r="R17" s="183">
        <v>0</v>
      </c>
      <c r="S17">
        <v>0</v>
      </c>
      <c r="T17" s="183">
        <v>0</v>
      </c>
      <c r="U17">
        <v>0</v>
      </c>
      <c r="V17" s="289" t="s">
        <v>292</v>
      </c>
      <c r="W17" s="183">
        <v>2</v>
      </c>
      <c r="X17" s="183">
        <v>2</v>
      </c>
      <c r="Y17" s="289" t="s">
        <v>385</v>
      </c>
      <c r="Z17" s="183">
        <v>2</v>
      </c>
      <c r="AA17" s="289" t="s">
        <v>412</v>
      </c>
      <c r="AB17" s="183">
        <v>2</v>
      </c>
      <c r="AC17" s="183">
        <v>0</v>
      </c>
      <c r="AD17" s="183">
        <v>0</v>
      </c>
      <c r="AE17" s="289" t="s">
        <v>378</v>
      </c>
      <c r="AF17" s="183">
        <v>16109000456</v>
      </c>
      <c r="AG17" s="289" t="s">
        <v>379</v>
      </c>
    </row>
    <row r="18" spans="1:34" x14ac:dyDescent="0.35">
      <c r="A18" s="289" t="s">
        <v>413</v>
      </c>
      <c r="B18" s="289" t="s">
        <v>177</v>
      </c>
      <c r="C18" s="289" t="s">
        <v>178</v>
      </c>
      <c r="D18" s="183">
        <v>11</v>
      </c>
      <c r="E18" s="183">
        <v>1842000</v>
      </c>
      <c r="F18" s="183">
        <v>6447</v>
      </c>
      <c r="G18" s="183">
        <v>1835553</v>
      </c>
      <c r="H18" s="289" t="s">
        <v>194</v>
      </c>
      <c r="I18" s="305">
        <v>29816</v>
      </c>
      <c r="J18" s="289" t="s">
        <v>233</v>
      </c>
      <c r="K18" s="183">
        <v>1900900969</v>
      </c>
      <c r="L18" s="289" t="s">
        <v>375</v>
      </c>
      <c r="M18" s="183">
        <v>5499700</v>
      </c>
      <c r="N18" s="289" t="s">
        <v>390</v>
      </c>
      <c r="O18" t="s">
        <v>178</v>
      </c>
      <c r="P18">
        <v>1842000</v>
      </c>
      <c r="Q18" s="183">
        <v>571020</v>
      </c>
      <c r="R18" s="183">
        <v>0</v>
      </c>
      <c r="S18">
        <v>0</v>
      </c>
      <c r="T18" s="183">
        <v>1270980</v>
      </c>
      <c r="U18">
        <v>0</v>
      </c>
      <c r="V18" s="289" t="s">
        <v>272</v>
      </c>
      <c r="W18" s="183">
        <v>2</v>
      </c>
      <c r="X18" s="183">
        <v>1</v>
      </c>
      <c r="Y18" s="289" t="s">
        <v>177</v>
      </c>
      <c r="Z18" s="183">
        <v>20</v>
      </c>
      <c r="AA18" s="289" t="s">
        <v>414</v>
      </c>
      <c r="AB18" s="183">
        <v>1</v>
      </c>
      <c r="AC18" s="183">
        <v>1</v>
      </c>
      <c r="AD18" s="183">
        <v>2</v>
      </c>
      <c r="AE18" s="289" t="s">
        <v>378</v>
      </c>
      <c r="AF18" s="183">
        <v>1900900969</v>
      </c>
      <c r="AG18" s="289" t="s">
        <v>379</v>
      </c>
      <c r="AH18" s="183">
        <v>78605</v>
      </c>
    </row>
    <row r="19" spans="1:34" x14ac:dyDescent="0.35">
      <c r="A19" s="289" t="s">
        <v>415</v>
      </c>
      <c r="B19" s="289" t="s">
        <v>183</v>
      </c>
      <c r="C19" s="289" t="s">
        <v>321</v>
      </c>
      <c r="D19" s="183">
        <v>8</v>
      </c>
      <c r="E19" s="183">
        <v>1000000</v>
      </c>
      <c r="F19" s="183">
        <v>111500</v>
      </c>
      <c r="G19" s="183">
        <v>888500</v>
      </c>
      <c r="H19" s="289" t="s">
        <v>215</v>
      </c>
      <c r="I19" s="305">
        <v>32780</v>
      </c>
      <c r="J19" s="289" t="s">
        <v>252</v>
      </c>
      <c r="K19" s="183">
        <v>1610906064</v>
      </c>
      <c r="L19" s="289" t="s">
        <v>375</v>
      </c>
      <c r="M19" s="183">
        <v>4212700</v>
      </c>
      <c r="N19" s="289" t="s">
        <v>390</v>
      </c>
      <c r="O19" t="s">
        <v>321</v>
      </c>
      <c r="P19">
        <v>1000000</v>
      </c>
      <c r="Q19" s="183">
        <v>1000000</v>
      </c>
      <c r="R19" s="183">
        <v>0</v>
      </c>
      <c r="S19">
        <v>0</v>
      </c>
      <c r="T19" s="183">
        <v>0</v>
      </c>
      <c r="U19">
        <v>0</v>
      </c>
      <c r="V19" s="289" t="s">
        <v>293</v>
      </c>
      <c r="W19" s="183">
        <v>2</v>
      </c>
      <c r="X19" s="183">
        <v>2</v>
      </c>
      <c r="Y19" s="289" t="s">
        <v>385</v>
      </c>
      <c r="Z19" s="183">
        <v>2</v>
      </c>
      <c r="AA19" s="289" t="s">
        <v>416</v>
      </c>
      <c r="AB19" s="183">
        <v>1</v>
      </c>
      <c r="AC19" s="183">
        <v>1</v>
      </c>
      <c r="AD19" s="183">
        <v>2</v>
      </c>
      <c r="AE19" s="289" t="s">
        <v>378</v>
      </c>
      <c r="AF19" s="183">
        <v>1610906064</v>
      </c>
      <c r="AG19" s="289" t="s">
        <v>379</v>
      </c>
    </row>
    <row r="20" spans="1:34" x14ac:dyDescent="0.35">
      <c r="A20" s="289" t="s">
        <v>417</v>
      </c>
      <c r="B20" s="289" t="s">
        <v>183</v>
      </c>
      <c r="C20" s="289" t="s">
        <v>321</v>
      </c>
      <c r="D20" s="183">
        <v>8</v>
      </c>
      <c r="E20" s="183">
        <v>1000000</v>
      </c>
      <c r="F20" s="183">
        <v>18000</v>
      </c>
      <c r="G20" s="183">
        <v>982000</v>
      </c>
      <c r="H20" s="289" t="s">
        <v>221</v>
      </c>
      <c r="I20" s="305">
        <v>34880</v>
      </c>
      <c r="J20" s="289" t="s">
        <v>258</v>
      </c>
      <c r="K20" s="183">
        <v>16109000347</v>
      </c>
      <c r="L20" s="289" t="s">
        <v>375</v>
      </c>
      <c r="M20" s="183">
        <v>3631400</v>
      </c>
      <c r="N20" s="289" t="s">
        <v>381</v>
      </c>
      <c r="O20" t="s">
        <v>321</v>
      </c>
      <c r="P20">
        <v>1000000</v>
      </c>
      <c r="Q20" s="183">
        <v>1000000</v>
      </c>
      <c r="R20" s="183">
        <v>0</v>
      </c>
      <c r="S20">
        <v>0</v>
      </c>
      <c r="T20" s="183">
        <v>0</v>
      </c>
      <c r="U20">
        <v>0</v>
      </c>
      <c r="V20" s="289" t="s">
        <v>299</v>
      </c>
      <c r="W20" s="183">
        <v>2</v>
      </c>
      <c r="X20" s="183">
        <v>2</v>
      </c>
      <c r="Y20" s="289" t="s">
        <v>385</v>
      </c>
      <c r="Z20" s="183">
        <v>0</v>
      </c>
      <c r="AA20" s="289" t="s">
        <v>418</v>
      </c>
      <c r="AB20" s="183">
        <v>2</v>
      </c>
      <c r="AC20" s="183">
        <v>0</v>
      </c>
      <c r="AD20" s="183">
        <v>0</v>
      </c>
      <c r="AE20" s="289" t="s">
        <v>378</v>
      </c>
      <c r="AF20" s="183">
        <v>16109000347</v>
      </c>
      <c r="AG20" s="289" t="s">
        <v>379</v>
      </c>
    </row>
    <row r="21" spans="1:34" x14ac:dyDescent="0.35">
      <c r="A21" s="289" t="s">
        <v>419</v>
      </c>
      <c r="B21" s="289" t="s">
        <v>175</v>
      </c>
      <c r="C21" s="289" t="s">
        <v>176</v>
      </c>
      <c r="D21" s="183">
        <v>9</v>
      </c>
      <c r="E21" s="183">
        <v>1626000</v>
      </c>
      <c r="F21" s="183">
        <v>99186</v>
      </c>
      <c r="G21" s="183">
        <v>1526814</v>
      </c>
      <c r="H21" s="289" t="s">
        <v>199</v>
      </c>
      <c r="I21" s="305">
        <v>30067</v>
      </c>
      <c r="J21" s="289" t="s">
        <v>237</v>
      </c>
      <c r="K21" s="183">
        <v>1610901678</v>
      </c>
      <c r="L21" s="289" t="s">
        <v>375</v>
      </c>
      <c r="M21" s="183">
        <v>4773800</v>
      </c>
      <c r="N21" s="289" t="s">
        <v>384</v>
      </c>
      <c r="O21" t="s">
        <v>176</v>
      </c>
      <c r="P21">
        <v>1620309</v>
      </c>
      <c r="Q21" s="183">
        <v>664327</v>
      </c>
      <c r="R21" s="183">
        <v>0</v>
      </c>
      <c r="S21">
        <v>0</v>
      </c>
      <c r="T21" s="183">
        <v>955982</v>
      </c>
      <c r="U21">
        <v>0</v>
      </c>
      <c r="V21" s="289" t="s">
        <v>277</v>
      </c>
      <c r="W21" s="183">
        <v>2</v>
      </c>
      <c r="X21" s="183">
        <v>1</v>
      </c>
      <c r="Y21" s="289" t="s">
        <v>175</v>
      </c>
      <c r="Z21" s="183">
        <v>16</v>
      </c>
      <c r="AA21" s="289" t="s">
        <v>420</v>
      </c>
      <c r="AB21" s="183">
        <v>1</v>
      </c>
      <c r="AC21" s="183">
        <v>1</v>
      </c>
      <c r="AD21" s="183">
        <v>0</v>
      </c>
      <c r="AE21" s="289" t="s">
        <v>378</v>
      </c>
      <c r="AF21" s="183">
        <v>1610901678</v>
      </c>
      <c r="AG21" s="289" t="s">
        <v>379</v>
      </c>
      <c r="AH21" s="183">
        <v>73880</v>
      </c>
    </row>
    <row r="22" spans="1:34" x14ac:dyDescent="0.35">
      <c r="A22" s="289" t="s">
        <v>421</v>
      </c>
      <c r="B22" s="289" t="s">
        <v>175</v>
      </c>
      <c r="C22" s="289" t="s">
        <v>176</v>
      </c>
      <c r="D22" s="183">
        <v>9</v>
      </c>
      <c r="E22" s="183">
        <v>1626000</v>
      </c>
      <c r="F22" s="183">
        <v>0</v>
      </c>
      <c r="G22" s="183">
        <v>1626000</v>
      </c>
      <c r="H22" s="289" t="s">
        <v>208</v>
      </c>
      <c r="I22" s="305">
        <v>32628</v>
      </c>
      <c r="J22" s="289" t="s">
        <v>246</v>
      </c>
      <c r="K22" s="183">
        <v>1610904070</v>
      </c>
      <c r="L22" s="289" t="s">
        <v>375</v>
      </c>
      <c r="M22" s="183">
        <v>4658300</v>
      </c>
      <c r="N22" s="289" t="s">
        <v>390</v>
      </c>
      <c r="O22" t="s">
        <v>176</v>
      </c>
      <c r="P22">
        <v>1626000</v>
      </c>
      <c r="Q22" s="183">
        <v>666660</v>
      </c>
      <c r="R22" s="183">
        <v>0</v>
      </c>
      <c r="S22">
        <v>0</v>
      </c>
      <c r="T22" s="183">
        <v>959340</v>
      </c>
      <c r="U22">
        <v>0</v>
      </c>
      <c r="V22" s="289" t="s">
        <v>286</v>
      </c>
      <c r="W22" s="183">
        <v>2</v>
      </c>
      <c r="X22" s="183">
        <v>1</v>
      </c>
      <c r="Y22" s="289" t="s">
        <v>175</v>
      </c>
      <c r="Z22" s="183">
        <v>12</v>
      </c>
      <c r="AA22" s="289" t="s">
        <v>422</v>
      </c>
      <c r="AB22" s="183">
        <v>1</v>
      </c>
      <c r="AC22" s="183">
        <v>1</v>
      </c>
      <c r="AD22" s="183">
        <v>2</v>
      </c>
      <c r="AE22" s="289" t="s">
        <v>378</v>
      </c>
      <c r="AF22" s="183">
        <v>1610904070</v>
      </c>
      <c r="AG22" s="289" t="s">
        <v>379</v>
      </c>
      <c r="AH22" s="183">
        <v>66618</v>
      </c>
    </row>
    <row r="23" spans="1:34" x14ac:dyDescent="0.35">
      <c r="A23" s="289" t="s">
        <v>423</v>
      </c>
      <c r="B23" s="289" t="s">
        <v>183</v>
      </c>
      <c r="C23" s="289" t="s">
        <v>321</v>
      </c>
      <c r="D23" s="183">
        <v>8</v>
      </c>
      <c r="E23" s="183">
        <v>1000000</v>
      </c>
      <c r="F23" s="183">
        <v>3500</v>
      </c>
      <c r="G23" s="183">
        <v>996500</v>
      </c>
      <c r="H23" s="289" t="s">
        <v>213</v>
      </c>
      <c r="I23" s="305">
        <v>31590</v>
      </c>
      <c r="J23" s="289" t="s">
        <v>250</v>
      </c>
      <c r="K23" s="183">
        <v>1820903520</v>
      </c>
      <c r="L23" s="289" t="s">
        <v>375</v>
      </c>
      <c r="M23" s="183">
        <v>3735500</v>
      </c>
      <c r="N23" s="289" t="s">
        <v>381</v>
      </c>
      <c r="O23" t="s">
        <v>321</v>
      </c>
      <c r="P23">
        <v>1000000</v>
      </c>
      <c r="Q23" s="183">
        <v>1000000</v>
      </c>
      <c r="R23" s="183">
        <v>0</v>
      </c>
      <c r="S23">
        <v>0</v>
      </c>
      <c r="T23" s="183">
        <v>0</v>
      </c>
      <c r="U23">
        <v>0</v>
      </c>
      <c r="V23" s="289" t="s">
        <v>291</v>
      </c>
      <c r="W23" s="183">
        <v>2</v>
      </c>
      <c r="X23" s="183">
        <v>2</v>
      </c>
      <c r="Y23" s="289" t="s">
        <v>385</v>
      </c>
      <c r="Z23" s="183">
        <v>2</v>
      </c>
      <c r="AA23" s="289" t="s">
        <v>424</v>
      </c>
      <c r="AB23" s="183">
        <v>2</v>
      </c>
      <c r="AC23" s="183">
        <v>0</v>
      </c>
      <c r="AD23" s="183">
        <v>0</v>
      </c>
      <c r="AE23" s="289" t="s">
        <v>378</v>
      </c>
      <c r="AF23" s="183">
        <v>1820903520</v>
      </c>
      <c r="AG23" s="289" t="s">
        <v>379</v>
      </c>
    </row>
    <row r="24" spans="1:34" x14ac:dyDescent="0.35">
      <c r="A24" s="289" t="s">
        <v>425</v>
      </c>
      <c r="B24" s="289" t="s">
        <v>175</v>
      </c>
      <c r="C24" s="289" t="s">
        <v>176</v>
      </c>
      <c r="D24" s="183">
        <v>9</v>
      </c>
      <c r="E24" s="183">
        <v>1626000</v>
      </c>
      <c r="F24" s="183">
        <v>34959</v>
      </c>
      <c r="G24" s="183">
        <v>1591041</v>
      </c>
      <c r="H24" s="289" t="s">
        <v>198</v>
      </c>
      <c r="I24" s="305">
        <v>30037</v>
      </c>
      <c r="J24" s="289" t="s">
        <v>236</v>
      </c>
      <c r="K24" s="183">
        <v>1610105795</v>
      </c>
      <c r="L24" s="289" t="s">
        <v>375</v>
      </c>
      <c r="M24" s="183">
        <v>4496900</v>
      </c>
      <c r="N24" s="289" t="s">
        <v>384</v>
      </c>
      <c r="O24" t="s">
        <v>176</v>
      </c>
      <c r="P24">
        <v>1626000</v>
      </c>
      <c r="Q24" s="183">
        <v>666660</v>
      </c>
      <c r="R24" s="183">
        <v>0</v>
      </c>
      <c r="S24">
        <v>0</v>
      </c>
      <c r="T24" s="183">
        <v>959340</v>
      </c>
      <c r="U24">
        <v>0</v>
      </c>
      <c r="V24" s="289" t="s">
        <v>276</v>
      </c>
      <c r="W24" s="183">
        <v>2</v>
      </c>
      <c r="X24" s="183">
        <v>1</v>
      </c>
      <c r="Y24" s="289" t="s">
        <v>175</v>
      </c>
      <c r="Z24" s="183">
        <v>16</v>
      </c>
      <c r="AA24" s="289" t="s">
        <v>426</v>
      </c>
      <c r="AB24" s="183">
        <v>1</v>
      </c>
      <c r="AC24" s="183">
        <v>0</v>
      </c>
      <c r="AD24" s="183">
        <v>0</v>
      </c>
      <c r="AE24" s="289" t="s">
        <v>378</v>
      </c>
      <c r="AF24" s="183">
        <v>1610105795</v>
      </c>
      <c r="AG24" s="289" t="s">
        <v>379</v>
      </c>
      <c r="AH24" s="183">
        <v>76207</v>
      </c>
    </row>
    <row r="25" spans="1:34" x14ac:dyDescent="0.35">
      <c r="A25" s="289" t="s">
        <v>427</v>
      </c>
      <c r="B25" s="289" t="s">
        <v>175</v>
      </c>
      <c r="C25" s="289" t="s">
        <v>176</v>
      </c>
      <c r="D25" s="183">
        <v>9</v>
      </c>
      <c r="E25" s="183">
        <v>1626000</v>
      </c>
      <c r="F25" s="183">
        <v>5691</v>
      </c>
      <c r="G25" s="183">
        <v>1620309</v>
      </c>
      <c r="H25" s="289" t="s">
        <v>184</v>
      </c>
      <c r="I25" s="305">
        <v>25040</v>
      </c>
      <c r="J25" s="289" t="s">
        <v>225</v>
      </c>
      <c r="K25" s="183">
        <v>1610101008</v>
      </c>
      <c r="L25" s="289" t="s">
        <v>375</v>
      </c>
      <c r="M25" s="183">
        <v>5614000</v>
      </c>
      <c r="N25" s="289" t="s">
        <v>376</v>
      </c>
      <c r="O25" t="s">
        <v>176</v>
      </c>
      <c r="P25">
        <v>1626000</v>
      </c>
      <c r="Q25" s="183">
        <v>666660</v>
      </c>
      <c r="R25" s="183">
        <v>0</v>
      </c>
      <c r="S25">
        <v>0</v>
      </c>
      <c r="T25" s="183">
        <v>959340</v>
      </c>
      <c r="U25">
        <v>0</v>
      </c>
      <c r="V25" s="289" t="s">
        <v>262</v>
      </c>
      <c r="W25" s="183">
        <v>2</v>
      </c>
      <c r="X25" s="183">
        <v>1</v>
      </c>
      <c r="Y25" s="289" t="s">
        <v>175</v>
      </c>
      <c r="Z25" s="183">
        <v>26</v>
      </c>
      <c r="AA25" s="289" t="s">
        <v>428</v>
      </c>
      <c r="AB25" s="183">
        <v>1</v>
      </c>
      <c r="AC25" s="183">
        <v>1</v>
      </c>
      <c r="AD25" s="183">
        <v>1</v>
      </c>
      <c r="AE25" s="289" t="s">
        <v>378</v>
      </c>
      <c r="AF25" s="183">
        <v>1610101008</v>
      </c>
      <c r="AG25" s="289" t="s">
        <v>379</v>
      </c>
      <c r="AH25" s="183">
        <v>86270</v>
      </c>
    </row>
    <row r="26" spans="1:34" x14ac:dyDescent="0.35">
      <c r="A26" s="289" t="s">
        <v>429</v>
      </c>
      <c r="B26" s="289" t="s">
        <v>175</v>
      </c>
      <c r="C26" s="289" t="s">
        <v>176</v>
      </c>
      <c r="D26" s="183">
        <v>9</v>
      </c>
      <c r="E26" s="183">
        <v>1626000</v>
      </c>
      <c r="F26" s="183">
        <v>0</v>
      </c>
      <c r="G26" s="183">
        <v>1626000</v>
      </c>
      <c r="H26" s="289" t="s">
        <v>206</v>
      </c>
      <c r="I26" s="305">
        <v>32221</v>
      </c>
      <c r="J26" s="289" t="s">
        <v>244</v>
      </c>
      <c r="K26" s="183">
        <v>1610905245</v>
      </c>
      <c r="L26" s="289" t="s">
        <v>375</v>
      </c>
      <c r="M26" s="183">
        <v>4506300</v>
      </c>
      <c r="N26" s="289" t="s">
        <v>384</v>
      </c>
      <c r="O26" t="s">
        <v>176</v>
      </c>
      <c r="P26">
        <v>1626000</v>
      </c>
      <c r="Q26" s="183">
        <v>666660</v>
      </c>
      <c r="R26" s="183">
        <v>0</v>
      </c>
      <c r="S26">
        <v>0</v>
      </c>
      <c r="T26" s="183">
        <v>959340</v>
      </c>
      <c r="U26">
        <v>0</v>
      </c>
      <c r="V26" s="289" t="s">
        <v>284</v>
      </c>
      <c r="W26" s="183">
        <v>2</v>
      </c>
      <c r="X26" s="183">
        <v>1</v>
      </c>
      <c r="Y26" s="289" t="s">
        <v>175</v>
      </c>
      <c r="Z26" s="183">
        <v>10</v>
      </c>
      <c r="AA26" s="289" t="s">
        <v>430</v>
      </c>
      <c r="AB26" s="183">
        <v>1</v>
      </c>
      <c r="AC26" s="183">
        <v>1</v>
      </c>
      <c r="AD26" s="183">
        <v>0</v>
      </c>
      <c r="AE26" s="289" t="s">
        <v>378</v>
      </c>
      <c r="AF26" s="183">
        <v>1610905245</v>
      </c>
      <c r="AG26" s="289" t="s">
        <v>379</v>
      </c>
      <c r="AH26" s="183">
        <v>66618</v>
      </c>
    </row>
    <row r="27" spans="1:34" x14ac:dyDescent="0.35">
      <c r="A27" s="289" t="s">
        <v>431</v>
      </c>
      <c r="B27" s="289" t="s">
        <v>175</v>
      </c>
      <c r="C27" s="289" t="s">
        <v>176</v>
      </c>
      <c r="D27" s="183">
        <v>9</v>
      </c>
      <c r="E27" s="183">
        <v>1626000</v>
      </c>
      <c r="F27" s="183">
        <v>204876</v>
      </c>
      <c r="G27" s="183">
        <v>1421124</v>
      </c>
      <c r="H27" s="289" t="s">
        <v>201</v>
      </c>
      <c r="I27" s="305">
        <v>31105</v>
      </c>
      <c r="J27" s="289" t="s">
        <v>239</v>
      </c>
      <c r="K27" s="183">
        <v>1610104975</v>
      </c>
      <c r="L27" s="289" t="s">
        <v>375</v>
      </c>
      <c r="M27" s="183">
        <v>4935500</v>
      </c>
      <c r="N27" s="289" t="s">
        <v>390</v>
      </c>
      <c r="O27" t="s">
        <v>176</v>
      </c>
      <c r="P27">
        <v>1620309</v>
      </c>
      <c r="Q27" s="183">
        <v>664327</v>
      </c>
      <c r="R27" s="183">
        <v>0</v>
      </c>
      <c r="S27">
        <v>0</v>
      </c>
      <c r="T27" s="183">
        <v>955982</v>
      </c>
      <c r="U27">
        <v>0</v>
      </c>
      <c r="V27" s="289" t="s">
        <v>279</v>
      </c>
      <c r="W27" s="183">
        <v>2</v>
      </c>
      <c r="X27" s="183">
        <v>1</v>
      </c>
      <c r="Y27" s="289" t="s">
        <v>175</v>
      </c>
      <c r="Z27" s="183">
        <v>16</v>
      </c>
      <c r="AA27" s="289" t="s">
        <v>432</v>
      </c>
      <c r="AB27" s="183">
        <v>1</v>
      </c>
      <c r="AC27" s="183">
        <v>1</v>
      </c>
      <c r="AD27" s="183">
        <v>2</v>
      </c>
      <c r="AE27" s="289" t="s">
        <v>378</v>
      </c>
      <c r="AF27" s="183">
        <v>1610104975</v>
      </c>
      <c r="AG27" s="289" t="s">
        <v>379</v>
      </c>
      <c r="AH27" s="183">
        <v>73880</v>
      </c>
    </row>
    <row r="28" spans="1:34" x14ac:dyDescent="0.35">
      <c r="A28" s="289" t="s">
        <v>433</v>
      </c>
      <c r="B28" s="289" t="s">
        <v>180</v>
      </c>
      <c r="C28" s="289" t="s">
        <v>475</v>
      </c>
      <c r="D28" s="183">
        <v>7</v>
      </c>
      <c r="E28" s="183">
        <v>2667000</v>
      </c>
      <c r="F28" s="183">
        <v>216027</v>
      </c>
      <c r="G28" s="183">
        <v>2450973</v>
      </c>
      <c r="H28" s="289" t="s">
        <v>191</v>
      </c>
      <c r="I28" s="305">
        <v>29042</v>
      </c>
      <c r="J28" s="289" t="s">
        <v>230</v>
      </c>
      <c r="K28" s="183">
        <v>1610103820</v>
      </c>
      <c r="L28" s="289" t="s">
        <v>375</v>
      </c>
      <c r="M28" s="183">
        <v>4352600</v>
      </c>
      <c r="N28" s="289" t="s">
        <v>376</v>
      </c>
      <c r="O28" t="s">
        <v>181</v>
      </c>
      <c r="P28">
        <v>2667000</v>
      </c>
      <c r="Q28" s="183">
        <v>1973580</v>
      </c>
      <c r="R28" s="183">
        <v>0</v>
      </c>
      <c r="S28">
        <v>0</v>
      </c>
      <c r="T28" s="183">
        <v>693420</v>
      </c>
      <c r="U28">
        <v>0</v>
      </c>
      <c r="V28" s="289" t="s">
        <v>269</v>
      </c>
      <c r="W28" s="183">
        <v>3</v>
      </c>
      <c r="X28" s="183">
        <v>1</v>
      </c>
      <c r="Y28" s="289" t="s">
        <v>385</v>
      </c>
      <c r="Z28" s="183">
        <v>16</v>
      </c>
      <c r="AA28" s="289" t="s">
        <v>434</v>
      </c>
      <c r="AB28" s="183">
        <v>1</v>
      </c>
      <c r="AC28" s="183">
        <v>1</v>
      </c>
      <c r="AD28" s="183">
        <v>1</v>
      </c>
      <c r="AE28" s="289" t="s">
        <v>378</v>
      </c>
      <c r="AF28" s="183">
        <v>1610103820</v>
      </c>
      <c r="AG28" s="289" t="s">
        <v>379</v>
      </c>
    </row>
    <row r="29" spans="1:34" x14ac:dyDescent="0.35">
      <c r="A29" s="289" t="s">
        <v>435</v>
      </c>
      <c r="B29" s="289" t="s">
        <v>183</v>
      </c>
      <c r="C29" s="289" t="s">
        <v>321</v>
      </c>
      <c r="D29" s="183">
        <v>8</v>
      </c>
      <c r="E29" s="183">
        <v>1000000</v>
      </c>
      <c r="F29" s="183">
        <v>0</v>
      </c>
      <c r="G29" s="183">
        <v>1000000</v>
      </c>
      <c r="H29" s="289" t="s">
        <v>212</v>
      </c>
      <c r="I29" s="305">
        <v>27887</v>
      </c>
      <c r="J29" s="289" t="s">
        <v>249</v>
      </c>
      <c r="K29" s="183">
        <v>1610907514</v>
      </c>
      <c r="L29" s="289" t="s">
        <v>375</v>
      </c>
      <c r="M29" s="183">
        <v>4094000</v>
      </c>
      <c r="N29" s="289" t="s">
        <v>390</v>
      </c>
      <c r="O29" t="s">
        <v>321</v>
      </c>
      <c r="P29">
        <v>1000000</v>
      </c>
      <c r="Q29" s="183">
        <v>1000000</v>
      </c>
      <c r="R29" s="183">
        <v>0</v>
      </c>
      <c r="S29">
        <v>0</v>
      </c>
      <c r="T29" s="183">
        <v>0</v>
      </c>
      <c r="U29">
        <v>0</v>
      </c>
      <c r="V29" s="289" t="s">
        <v>290</v>
      </c>
      <c r="W29" s="183">
        <v>2</v>
      </c>
      <c r="X29" s="183">
        <v>2</v>
      </c>
      <c r="Y29" s="289" t="s">
        <v>385</v>
      </c>
      <c r="Z29" s="183">
        <v>0</v>
      </c>
      <c r="AA29" s="289" t="s">
        <v>436</v>
      </c>
      <c r="AB29" s="183">
        <v>1</v>
      </c>
      <c r="AC29" s="183">
        <v>1</v>
      </c>
      <c r="AD29" s="183">
        <v>2</v>
      </c>
      <c r="AE29" s="289" t="s">
        <v>378</v>
      </c>
      <c r="AF29" s="183">
        <v>1610907514</v>
      </c>
      <c r="AG29" s="289" t="s">
        <v>379</v>
      </c>
    </row>
    <row r="30" spans="1:34" x14ac:dyDescent="0.35">
      <c r="A30" s="289" t="s">
        <v>437</v>
      </c>
      <c r="B30" s="289" t="s">
        <v>183</v>
      </c>
      <c r="C30" s="289" t="s">
        <v>321</v>
      </c>
      <c r="D30" s="183">
        <v>8</v>
      </c>
      <c r="E30" s="183">
        <v>1000000</v>
      </c>
      <c r="F30" s="183">
        <v>18000</v>
      </c>
      <c r="G30" s="183">
        <v>982000</v>
      </c>
      <c r="H30" s="289" t="s">
        <v>224</v>
      </c>
      <c r="I30" s="305">
        <v>36476</v>
      </c>
      <c r="J30" s="289" t="s">
        <v>261</v>
      </c>
      <c r="K30" s="183">
        <v>1440966655</v>
      </c>
      <c r="L30" s="289" t="s">
        <v>375</v>
      </c>
      <c r="M30" s="183">
        <v>3961800</v>
      </c>
      <c r="N30" s="289" t="s">
        <v>384</v>
      </c>
      <c r="O30" t="s">
        <v>321</v>
      </c>
      <c r="P30">
        <v>1000000</v>
      </c>
      <c r="Q30" s="183">
        <v>1000000</v>
      </c>
      <c r="R30" s="183">
        <v>0</v>
      </c>
      <c r="S30">
        <v>0</v>
      </c>
      <c r="T30" s="183">
        <v>0</v>
      </c>
      <c r="U30">
        <v>0</v>
      </c>
      <c r="V30" s="289" t="s">
        <v>302</v>
      </c>
      <c r="W30" s="183">
        <v>2</v>
      </c>
      <c r="X30" s="183">
        <v>2</v>
      </c>
      <c r="Y30" s="289" t="s">
        <v>385</v>
      </c>
      <c r="Z30" s="183">
        <v>0</v>
      </c>
      <c r="AA30" s="289" t="s">
        <v>438</v>
      </c>
      <c r="AB30" s="183">
        <v>2</v>
      </c>
      <c r="AC30" s="183">
        <v>0</v>
      </c>
      <c r="AD30" s="183">
        <v>0</v>
      </c>
      <c r="AE30" s="289" t="s">
        <v>378</v>
      </c>
      <c r="AF30" s="183">
        <v>1440966655</v>
      </c>
      <c r="AG30" s="289" t="s">
        <v>379</v>
      </c>
    </row>
    <row r="31" spans="1:34" x14ac:dyDescent="0.35">
      <c r="A31" s="289" t="s">
        <v>439</v>
      </c>
      <c r="B31" s="289" t="s">
        <v>175</v>
      </c>
      <c r="C31" s="289" t="s">
        <v>176</v>
      </c>
      <c r="D31" s="183">
        <v>9</v>
      </c>
      <c r="E31" s="183">
        <v>1626000</v>
      </c>
      <c r="F31" s="183">
        <v>93495</v>
      </c>
      <c r="G31" s="183">
        <v>1532505</v>
      </c>
      <c r="H31" s="289" t="s">
        <v>204</v>
      </c>
      <c r="I31" s="305">
        <v>31729</v>
      </c>
      <c r="J31" s="289" t="s">
        <v>242</v>
      </c>
      <c r="K31" s="183">
        <v>1610904107</v>
      </c>
      <c r="L31" s="289" t="s">
        <v>375</v>
      </c>
      <c r="M31" s="183">
        <v>4935500</v>
      </c>
      <c r="N31" s="289" t="s">
        <v>390</v>
      </c>
      <c r="O31" t="s">
        <v>176</v>
      </c>
      <c r="P31">
        <v>1626000</v>
      </c>
      <c r="Q31" s="183">
        <v>666660</v>
      </c>
      <c r="R31" s="183">
        <v>0</v>
      </c>
      <c r="S31">
        <v>0</v>
      </c>
      <c r="T31" s="183">
        <v>959340</v>
      </c>
      <c r="U31">
        <v>0</v>
      </c>
      <c r="V31" s="289" t="s">
        <v>282</v>
      </c>
      <c r="W31" s="183">
        <v>2</v>
      </c>
      <c r="X31" s="183">
        <v>1</v>
      </c>
      <c r="Y31" s="289" t="s">
        <v>175</v>
      </c>
      <c r="Z31" s="183">
        <v>16</v>
      </c>
      <c r="AA31" s="289" t="s">
        <v>440</v>
      </c>
      <c r="AB31" s="183">
        <v>1</v>
      </c>
      <c r="AC31" s="183">
        <v>1</v>
      </c>
      <c r="AD31" s="183">
        <v>2</v>
      </c>
      <c r="AE31" s="289" t="s">
        <v>378</v>
      </c>
      <c r="AF31" s="183">
        <v>1610106127</v>
      </c>
      <c r="AG31" s="289" t="s">
        <v>379</v>
      </c>
      <c r="AH31" s="183">
        <v>73880</v>
      </c>
    </row>
    <row r="32" spans="1:34" x14ac:dyDescent="0.35">
      <c r="A32" s="289" t="s">
        <v>441</v>
      </c>
      <c r="B32" s="289" t="s">
        <v>175</v>
      </c>
      <c r="C32" s="289" t="s">
        <v>176</v>
      </c>
      <c r="D32" s="183">
        <v>9</v>
      </c>
      <c r="E32" s="183">
        <v>1626000</v>
      </c>
      <c r="F32" s="183">
        <v>0</v>
      </c>
      <c r="G32" s="183">
        <v>1626000</v>
      </c>
      <c r="H32" s="289" t="s">
        <v>190</v>
      </c>
      <c r="I32" s="305">
        <v>28905</v>
      </c>
      <c r="J32" s="289" t="s">
        <v>229</v>
      </c>
      <c r="K32" s="183">
        <v>1610100879</v>
      </c>
      <c r="L32" s="289" t="s">
        <v>375</v>
      </c>
      <c r="M32" s="183">
        <v>4935500</v>
      </c>
      <c r="N32" s="289" t="s">
        <v>390</v>
      </c>
      <c r="O32" t="s">
        <v>176</v>
      </c>
      <c r="P32">
        <v>1626000</v>
      </c>
      <c r="Q32" s="183">
        <v>666660</v>
      </c>
      <c r="R32" s="183">
        <v>0</v>
      </c>
      <c r="S32">
        <v>0</v>
      </c>
      <c r="T32" s="183">
        <v>959340</v>
      </c>
      <c r="U32">
        <v>0</v>
      </c>
      <c r="V32" s="289" t="s">
        <v>268</v>
      </c>
      <c r="W32" s="183">
        <v>2</v>
      </c>
      <c r="X32" s="183">
        <v>1</v>
      </c>
      <c r="Y32" s="289" t="s">
        <v>175</v>
      </c>
      <c r="Z32" s="183">
        <v>16</v>
      </c>
      <c r="AA32" s="289" t="s">
        <v>442</v>
      </c>
      <c r="AB32" s="183">
        <v>1</v>
      </c>
      <c r="AC32" s="183">
        <v>1</v>
      </c>
      <c r="AD32" s="183">
        <v>2</v>
      </c>
      <c r="AE32" s="289" t="s">
        <v>378</v>
      </c>
      <c r="AF32" s="183">
        <v>1610100879</v>
      </c>
      <c r="AG32" s="289" t="s">
        <v>379</v>
      </c>
      <c r="AH32" s="183">
        <v>73880</v>
      </c>
    </row>
    <row r="33" spans="1:34" x14ac:dyDescent="0.35">
      <c r="A33" s="289" t="s">
        <v>443</v>
      </c>
      <c r="B33" s="289" t="s">
        <v>183</v>
      </c>
      <c r="C33" s="289" t="s">
        <v>321</v>
      </c>
      <c r="D33" s="183">
        <v>8</v>
      </c>
      <c r="E33" s="183">
        <v>1000000</v>
      </c>
      <c r="F33" s="183">
        <v>75500</v>
      </c>
      <c r="G33" s="183">
        <v>924500</v>
      </c>
      <c r="H33" s="289" t="s">
        <v>216</v>
      </c>
      <c r="I33" s="305">
        <v>32995</v>
      </c>
      <c r="J33" s="289" t="s">
        <v>253</v>
      </c>
      <c r="K33" s="183">
        <v>1610108232</v>
      </c>
      <c r="L33" s="289" t="s">
        <v>375</v>
      </c>
      <c r="M33" s="183">
        <v>3631400</v>
      </c>
      <c r="N33" s="289" t="s">
        <v>384</v>
      </c>
      <c r="O33" t="s">
        <v>321</v>
      </c>
      <c r="P33">
        <v>996500</v>
      </c>
      <c r="Q33" s="183">
        <v>996500</v>
      </c>
      <c r="R33" s="183">
        <v>0</v>
      </c>
      <c r="S33">
        <v>0</v>
      </c>
      <c r="T33" s="183">
        <v>0</v>
      </c>
      <c r="U33">
        <v>0</v>
      </c>
      <c r="V33" s="289" t="s">
        <v>294</v>
      </c>
      <c r="W33" s="183">
        <v>2</v>
      </c>
      <c r="X33" s="183">
        <v>2</v>
      </c>
      <c r="Y33" s="289" t="s">
        <v>385</v>
      </c>
      <c r="Z33" s="183">
        <v>0</v>
      </c>
      <c r="AA33" s="289" t="s">
        <v>444</v>
      </c>
      <c r="AB33" s="183">
        <v>1</v>
      </c>
      <c r="AC33" s="183">
        <v>0</v>
      </c>
      <c r="AD33" s="183">
        <v>0</v>
      </c>
      <c r="AE33" s="289" t="s">
        <v>378</v>
      </c>
      <c r="AF33" s="183">
        <v>1610108232</v>
      </c>
      <c r="AG33" s="289" t="s">
        <v>379</v>
      </c>
    </row>
    <row r="34" spans="1:34" x14ac:dyDescent="0.35">
      <c r="A34" s="289" t="s">
        <v>445</v>
      </c>
      <c r="B34" s="289" t="s">
        <v>183</v>
      </c>
      <c r="C34" s="289" t="s">
        <v>321</v>
      </c>
      <c r="D34" s="183">
        <v>8</v>
      </c>
      <c r="E34" s="183">
        <v>1000000</v>
      </c>
      <c r="F34" s="183">
        <v>28500</v>
      </c>
      <c r="G34" s="183">
        <v>971500</v>
      </c>
      <c r="H34" s="289" t="s">
        <v>218</v>
      </c>
      <c r="I34" s="305">
        <v>33803</v>
      </c>
      <c r="J34" s="289" t="s">
        <v>255</v>
      </c>
      <c r="K34" s="183">
        <v>16109012260</v>
      </c>
      <c r="L34" s="289" t="s">
        <v>375</v>
      </c>
      <c r="M34" s="183">
        <v>3631400</v>
      </c>
      <c r="N34" s="289" t="s">
        <v>384</v>
      </c>
      <c r="O34" t="s">
        <v>321</v>
      </c>
      <c r="P34">
        <v>993000</v>
      </c>
      <c r="Q34" s="183">
        <v>993000</v>
      </c>
      <c r="R34" s="183">
        <v>0</v>
      </c>
      <c r="S34">
        <v>0</v>
      </c>
      <c r="T34" s="183">
        <v>0</v>
      </c>
      <c r="U34">
        <v>0</v>
      </c>
      <c r="V34" s="289" t="s">
        <v>296</v>
      </c>
      <c r="W34" s="183">
        <v>2</v>
      </c>
      <c r="X34" s="183">
        <v>2</v>
      </c>
      <c r="Y34" s="289" t="s">
        <v>385</v>
      </c>
      <c r="Z34" s="183">
        <v>2</v>
      </c>
      <c r="AA34" s="289" t="s">
        <v>446</v>
      </c>
      <c r="AB34" s="183">
        <v>1</v>
      </c>
      <c r="AC34" s="183">
        <v>0</v>
      </c>
      <c r="AD34" s="183">
        <v>0</v>
      </c>
      <c r="AE34" s="289" t="s">
        <v>378</v>
      </c>
      <c r="AF34" s="183">
        <v>16109012260</v>
      </c>
      <c r="AG34" s="289" t="s">
        <v>379</v>
      </c>
    </row>
    <row r="35" spans="1:34" x14ac:dyDescent="0.35">
      <c r="A35" s="289" t="s">
        <v>447</v>
      </c>
      <c r="B35" s="289" t="s">
        <v>177</v>
      </c>
      <c r="C35" s="289" t="s">
        <v>178</v>
      </c>
      <c r="D35" s="183">
        <v>11</v>
      </c>
      <c r="E35" s="183">
        <v>1842000</v>
      </c>
      <c r="F35" s="183">
        <v>39603</v>
      </c>
      <c r="G35" s="183">
        <v>1802397</v>
      </c>
      <c r="H35" s="289" t="s">
        <v>188</v>
      </c>
      <c r="I35" s="305">
        <v>28003</v>
      </c>
      <c r="J35" s="289" t="s">
        <v>318</v>
      </c>
      <c r="K35" s="183">
        <v>1610104362</v>
      </c>
      <c r="L35" s="289" t="s">
        <v>375</v>
      </c>
      <c r="M35" s="183">
        <v>5568200</v>
      </c>
      <c r="N35" s="289" t="s">
        <v>376</v>
      </c>
      <c r="O35" t="s">
        <v>178</v>
      </c>
      <c r="P35">
        <v>1835553</v>
      </c>
      <c r="Q35" s="183">
        <v>569021</v>
      </c>
      <c r="R35" s="183">
        <v>0</v>
      </c>
      <c r="S35">
        <v>0</v>
      </c>
      <c r="T35" s="183">
        <v>1266532</v>
      </c>
      <c r="U35">
        <v>0</v>
      </c>
      <c r="V35" s="289" t="s">
        <v>266</v>
      </c>
      <c r="W35" s="183">
        <v>2</v>
      </c>
      <c r="X35" s="183">
        <v>1</v>
      </c>
      <c r="Y35" s="289" t="s">
        <v>177</v>
      </c>
      <c r="Z35" s="183">
        <v>20</v>
      </c>
      <c r="AA35" s="289" t="s">
        <v>448</v>
      </c>
      <c r="AB35" s="183">
        <v>1</v>
      </c>
      <c r="AC35" s="183">
        <v>1</v>
      </c>
      <c r="AD35" s="183">
        <v>1</v>
      </c>
      <c r="AE35" s="289" t="s">
        <v>378</v>
      </c>
      <c r="AF35" s="183">
        <v>1610104362</v>
      </c>
      <c r="AG35" s="289" t="s">
        <v>379</v>
      </c>
      <c r="AH35" s="183">
        <v>81081</v>
      </c>
    </row>
    <row r="36" spans="1:34" x14ac:dyDescent="0.35">
      <c r="A36" s="289" t="s">
        <v>449</v>
      </c>
      <c r="B36" s="289" t="s">
        <v>183</v>
      </c>
      <c r="C36" s="289" t="s">
        <v>321</v>
      </c>
      <c r="D36" s="183">
        <v>8</v>
      </c>
      <c r="E36" s="183">
        <v>1000000</v>
      </c>
      <c r="F36" s="183">
        <v>3500</v>
      </c>
      <c r="G36" s="183">
        <v>996500</v>
      </c>
      <c r="H36" s="289" t="s">
        <v>220</v>
      </c>
      <c r="I36" s="305">
        <v>34691</v>
      </c>
      <c r="J36" s="289" t="s">
        <v>257</v>
      </c>
      <c r="K36" s="183">
        <v>1610906183</v>
      </c>
      <c r="L36" s="289" t="s">
        <v>375</v>
      </c>
      <c r="M36" s="183">
        <v>4144500</v>
      </c>
      <c r="N36" s="289" t="s">
        <v>376</v>
      </c>
      <c r="O36" t="s">
        <v>321</v>
      </c>
      <c r="P36">
        <v>996500</v>
      </c>
      <c r="Q36" s="183">
        <v>996500</v>
      </c>
      <c r="R36" s="183">
        <v>0</v>
      </c>
      <c r="S36">
        <v>0</v>
      </c>
      <c r="T36" s="183">
        <v>0</v>
      </c>
      <c r="U36">
        <v>0</v>
      </c>
      <c r="V36" s="289" t="s">
        <v>298</v>
      </c>
      <c r="W36" s="183">
        <v>2</v>
      </c>
      <c r="X36" s="183">
        <v>2</v>
      </c>
      <c r="Y36" s="289" t="s">
        <v>385</v>
      </c>
      <c r="Z36" s="183">
        <v>2</v>
      </c>
      <c r="AA36" s="289" t="s">
        <v>450</v>
      </c>
      <c r="AB36" s="183">
        <v>1</v>
      </c>
      <c r="AC36" s="183">
        <v>1</v>
      </c>
      <c r="AD36" s="183">
        <v>1</v>
      </c>
      <c r="AE36" s="289" t="s">
        <v>378</v>
      </c>
      <c r="AF36" s="183">
        <v>1610906183</v>
      </c>
      <c r="AG36" s="289" t="s">
        <v>379</v>
      </c>
    </row>
    <row r="37" spans="1:34" x14ac:dyDescent="0.35">
      <c r="A37" s="289" t="s">
        <v>451</v>
      </c>
      <c r="B37" s="289" t="s">
        <v>183</v>
      </c>
      <c r="C37" s="289" t="s">
        <v>321</v>
      </c>
      <c r="D37" s="183">
        <v>8</v>
      </c>
      <c r="E37" s="183">
        <v>1000000</v>
      </c>
      <c r="F37" s="183">
        <v>147000</v>
      </c>
      <c r="G37" s="183">
        <v>853000</v>
      </c>
      <c r="H37" s="289" t="s">
        <v>222</v>
      </c>
      <c r="I37" s="305">
        <v>36258</v>
      </c>
      <c r="J37" s="289" t="s">
        <v>259</v>
      </c>
      <c r="K37" s="183">
        <v>1440966659</v>
      </c>
      <c r="L37" s="289" t="s">
        <v>375</v>
      </c>
      <c r="M37" s="183">
        <v>3631400</v>
      </c>
      <c r="N37" s="289" t="s">
        <v>381</v>
      </c>
      <c r="O37" t="s">
        <v>321</v>
      </c>
      <c r="P37">
        <v>978000</v>
      </c>
      <c r="Q37" s="183">
        <v>978000</v>
      </c>
      <c r="R37" s="183">
        <v>0</v>
      </c>
      <c r="S37">
        <v>0</v>
      </c>
      <c r="T37" s="183">
        <v>0</v>
      </c>
      <c r="U37">
        <v>0</v>
      </c>
      <c r="V37" s="289" t="s">
        <v>300</v>
      </c>
      <c r="W37" s="183">
        <v>2</v>
      </c>
      <c r="X37" s="183">
        <v>2</v>
      </c>
      <c r="Y37" s="289" t="s">
        <v>385</v>
      </c>
      <c r="Z37" s="183">
        <v>0</v>
      </c>
      <c r="AA37" s="289" t="s">
        <v>452</v>
      </c>
      <c r="AB37" s="183">
        <v>2</v>
      </c>
      <c r="AC37" s="183">
        <v>0</v>
      </c>
      <c r="AD37" s="183">
        <v>0</v>
      </c>
      <c r="AE37" s="289" t="s">
        <v>378</v>
      </c>
      <c r="AF37" s="183">
        <v>1440966659</v>
      </c>
      <c r="AG37" s="289" t="s">
        <v>379</v>
      </c>
    </row>
    <row r="38" spans="1:34" x14ac:dyDescent="0.35">
      <c r="A38" s="289" t="s">
        <v>453</v>
      </c>
      <c r="B38" s="289" t="s">
        <v>175</v>
      </c>
      <c r="C38" s="289" t="s">
        <v>176</v>
      </c>
      <c r="D38" s="183">
        <v>9</v>
      </c>
      <c r="E38" s="183">
        <v>1626000</v>
      </c>
      <c r="F38" s="183">
        <v>11382</v>
      </c>
      <c r="G38" s="183">
        <v>1614618</v>
      </c>
      <c r="H38" s="289" t="s">
        <v>197</v>
      </c>
      <c r="I38" s="305">
        <v>29930</v>
      </c>
      <c r="J38" s="289" t="s">
        <v>235</v>
      </c>
      <c r="K38" s="183">
        <v>1610104840</v>
      </c>
      <c r="L38" s="289" t="s">
        <v>375</v>
      </c>
      <c r="M38" s="183">
        <v>4935500</v>
      </c>
      <c r="N38" s="289" t="s">
        <v>390</v>
      </c>
      <c r="O38" t="s">
        <v>176</v>
      </c>
      <c r="P38">
        <v>1620309</v>
      </c>
      <c r="Q38" s="183">
        <v>664327</v>
      </c>
      <c r="R38" s="183">
        <v>0</v>
      </c>
      <c r="S38">
        <v>0</v>
      </c>
      <c r="T38" s="183">
        <v>955982</v>
      </c>
      <c r="U38">
        <v>0</v>
      </c>
      <c r="V38" s="289" t="s">
        <v>275</v>
      </c>
      <c r="W38" s="183">
        <v>2</v>
      </c>
      <c r="X38" s="183">
        <v>1</v>
      </c>
      <c r="Y38" s="289" t="s">
        <v>175</v>
      </c>
      <c r="Z38" s="183">
        <v>16</v>
      </c>
      <c r="AA38" s="289" t="s">
        <v>454</v>
      </c>
      <c r="AB38" s="183">
        <v>1</v>
      </c>
      <c r="AC38" s="183">
        <v>1</v>
      </c>
      <c r="AD38" s="183">
        <v>2</v>
      </c>
      <c r="AE38" s="289" t="s">
        <v>378</v>
      </c>
      <c r="AF38" s="183">
        <v>1610104840</v>
      </c>
      <c r="AG38" s="289" t="s">
        <v>379</v>
      </c>
      <c r="AH38" s="183">
        <v>70881</v>
      </c>
    </row>
    <row r="39" spans="1:34" x14ac:dyDescent="0.35">
      <c r="A39" s="289" t="s">
        <v>455</v>
      </c>
      <c r="B39" s="289" t="s">
        <v>183</v>
      </c>
      <c r="C39" s="289" t="s">
        <v>321</v>
      </c>
      <c r="D39" s="183">
        <v>8</v>
      </c>
      <c r="E39" s="183">
        <v>1000000</v>
      </c>
      <c r="F39" s="183">
        <v>3500</v>
      </c>
      <c r="G39" s="183">
        <v>996500</v>
      </c>
      <c r="H39" s="289" t="s">
        <v>217</v>
      </c>
      <c r="I39" s="305">
        <v>33460</v>
      </c>
      <c r="J39" s="289" t="s">
        <v>254</v>
      </c>
      <c r="K39" s="183">
        <v>1440924881</v>
      </c>
      <c r="L39" s="289" t="s">
        <v>375</v>
      </c>
      <c r="M39" s="183">
        <v>4144500</v>
      </c>
      <c r="N39" s="289" t="s">
        <v>376</v>
      </c>
      <c r="O39" t="s">
        <v>321</v>
      </c>
      <c r="P39">
        <v>996500</v>
      </c>
      <c r="Q39" s="183">
        <v>996500</v>
      </c>
      <c r="R39" s="183">
        <v>0</v>
      </c>
      <c r="S39">
        <v>0</v>
      </c>
      <c r="T39" s="183">
        <v>0</v>
      </c>
      <c r="U39">
        <v>0</v>
      </c>
      <c r="V39" s="289" t="s">
        <v>295</v>
      </c>
      <c r="W39" s="183">
        <v>2</v>
      </c>
      <c r="X39" s="183">
        <v>2</v>
      </c>
      <c r="Y39" s="289" t="s">
        <v>385</v>
      </c>
      <c r="Z39" s="183">
        <v>2</v>
      </c>
      <c r="AA39" s="289" t="s">
        <v>456</v>
      </c>
      <c r="AB39" s="183">
        <v>1</v>
      </c>
      <c r="AC39" s="183">
        <v>1</v>
      </c>
      <c r="AD39" s="183">
        <v>1</v>
      </c>
      <c r="AE39" s="289" t="s">
        <v>378</v>
      </c>
      <c r="AF39" s="183">
        <v>1440924881</v>
      </c>
      <c r="AG39" s="289" t="s">
        <v>379</v>
      </c>
    </row>
    <row r="40" spans="1:34" x14ac:dyDescent="0.35">
      <c r="A40" s="289" t="s">
        <v>457</v>
      </c>
      <c r="B40" s="289" t="s">
        <v>179</v>
      </c>
      <c r="C40" s="289" t="s">
        <v>458</v>
      </c>
      <c r="D40" s="183">
        <v>11</v>
      </c>
      <c r="E40" s="183">
        <v>4569000</v>
      </c>
      <c r="F40" s="183">
        <v>493452</v>
      </c>
      <c r="G40" s="183">
        <v>4075548</v>
      </c>
      <c r="H40" s="289" t="s">
        <v>189</v>
      </c>
      <c r="I40" s="305">
        <v>28363</v>
      </c>
      <c r="J40" s="289" t="s">
        <v>319</v>
      </c>
      <c r="K40" s="183">
        <v>1610102485</v>
      </c>
      <c r="L40" s="289" t="s">
        <v>375</v>
      </c>
      <c r="M40" s="183">
        <v>5967000</v>
      </c>
      <c r="N40" s="289" t="s">
        <v>390</v>
      </c>
      <c r="O40" t="s">
        <v>458</v>
      </c>
      <c r="P40">
        <v>4569000</v>
      </c>
      <c r="Q40" s="183">
        <v>3289680</v>
      </c>
      <c r="R40" s="183">
        <v>0</v>
      </c>
      <c r="S40">
        <v>0</v>
      </c>
      <c r="T40" s="183">
        <v>1279320</v>
      </c>
      <c r="U40">
        <v>0</v>
      </c>
      <c r="V40" s="289" t="s">
        <v>267</v>
      </c>
      <c r="W40" s="183">
        <v>2</v>
      </c>
      <c r="X40" s="183">
        <v>1</v>
      </c>
      <c r="Y40" s="289" t="s">
        <v>179</v>
      </c>
      <c r="Z40" s="183">
        <v>19</v>
      </c>
      <c r="AA40" s="289" t="s">
        <v>459</v>
      </c>
      <c r="AB40" s="183">
        <v>1</v>
      </c>
      <c r="AC40" s="183">
        <v>1</v>
      </c>
      <c r="AD40" s="183">
        <v>2</v>
      </c>
      <c r="AE40" s="289" t="s">
        <v>378</v>
      </c>
      <c r="AF40" s="183">
        <v>1610102485</v>
      </c>
      <c r="AG40" s="289" t="s">
        <v>379</v>
      </c>
      <c r="AH40" s="183">
        <v>78605</v>
      </c>
    </row>
    <row r="41" spans="1:34" x14ac:dyDescent="0.35">
      <c r="A41" s="289" t="s">
        <v>460</v>
      </c>
      <c r="B41" s="289" t="s">
        <v>175</v>
      </c>
      <c r="C41" s="289" t="s">
        <v>176</v>
      </c>
      <c r="D41" s="183">
        <v>9</v>
      </c>
      <c r="E41" s="183">
        <v>1626000</v>
      </c>
      <c r="F41" s="183">
        <v>5691</v>
      </c>
      <c r="G41" s="183">
        <v>1620309</v>
      </c>
      <c r="H41" s="289" t="s">
        <v>185</v>
      </c>
      <c r="I41" s="305">
        <v>25814</v>
      </c>
      <c r="J41" s="289" t="s">
        <v>226</v>
      </c>
      <c r="K41" s="183">
        <v>1610100141</v>
      </c>
      <c r="L41" s="289" t="s">
        <v>375</v>
      </c>
      <c r="M41" s="183">
        <v>5207400</v>
      </c>
      <c r="N41" s="289" t="s">
        <v>384</v>
      </c>
      <c r="O41" t="s">
        <v>176</v>
      </c>
      <c r="P41">
        <v>1626000</v>
      </c>
      <c r="Q41" s="183">
        <v>666660</v>
      </c>
      <c r="R41" s="183">
        <v>0</v>
      </c>
      <c r="S41">
        <v>0</v>
      </c>
      <c r="T41" s="183">
        <v>959340</v>
      </c>
      <c r="U41">
        <v>0</v>
      </c>
      <c r="V41" s="289" t="s">
        <v>263</v>
      </c>
      <c r="W41" s="183">
        <v>2</v>
      </c>
      <c r="X41" s="183">
        <v>1</v>
      </c>
      <c r="Y41" s="289" t="s">
        <v>175</v>
      </c>
      <c r="Z41" s="183">
        <v>22</v>
      </c>
      <c r="AA41" s="289" t="s">
        <v>461</v>
      </c>
      <c r="AB41" s="183">
        <v>1</v>
      </c>
      <c r="AC41" s="183">
        <v>1</v>
      </c>
      <c r="AD41" s="183">
        <v>0</v>
      </c>
      <c r="AE41" s="289" t="s">
        <v>378</v>
      </c>
      <c r="AF41" s="183">
        <v>1610100141</v>
      </c>
      <c r="AG41" s="289" t="s">
        <v>379</v>
      </c>
    </row>
    <row r="42" spans="1:34" x14ac:dyDescent="0.35">
      <c r="A42" s="289" t="s">
        <v>462</v>
      </c>
      <c r="B42" s="289" t="s">
        <v>175</v>
      </c>
      <c r="C42" s="289" t="s">
        <v>176</v>
      </c>
      <c r="D42" s="183">
        <v>9</v>
      </c>
      <c r="E42" s="183">
        <v>1626000</v>
      </c>
      <c r="F42" s="183">
        <v>69918</v>
      </c>
      <c r="G42" s="183">
        <v>1556082</v>
      </c>
      <c r="H42" s="289" t="s">
        <v>187</v>
      </c>
      <c r="I42" s="305">
        <v>27518</v>
      </c>
      <c r="J42" s="289" t="s">
        <v>228</v>
      </c>
      <c r="K42" s="183">
        <v>1610901665</v>
      </c>
      <c r="L42" s="289" t="s">
        <v>375</v>
      </c>
      <c r="M42" s="183">
        <v>4935500</v>
      </c>
      <c r="N42" s="289" t="s">
        <v>390</v>
      </c>
      <c r="O42" t="s">
        <v>176</v>
      </c>
      <c r="P42">
        <v>1620309</v>
      </c>
      <c r="Q42" s="183">
        <v>664327</v>
      </c>
      <c r="R42" s="183">
        <v>0</v>
      </c>
      <c r="S42">
        <v>0</v>
      </c>
      <c r="T42" s="183">
        <v>955982</v>
      </c>
      <c r="U42">
        <v>0</v>
      </c>
      <c r="V42" s="289" t="s">
        <v>265</v>
      </c>
      <c r="W42" s="183">
        <v>2</v>
      </c>
      <c r="X42" s="183">
        <v>1</v>
      </c>
      <c r="Y42" s="289" t="s">
        <v>175</v>
      </c>
      <c r="Z42" s="183">
        <v>16</v>
      </c>
      <c r="AA42" s="289" t="s">
        <v>463</v>
      </c>
      <c r="AB42" s="183">
        <v>1</v>
      </c>
      <c r="AC42" s="183">
        <v>1</v>
      </c>
      <c r="AD42" s="183">
        <v>2</v>
      </c>
      <c r="AE42" s="289" t="s">
        <v>378</v>
      </c>
      <c r="AF42" s="183">
        <v>1610901665</v>
      </c>
      <c r="AG42" s="289" t="s">
        <v>379</v>
      </c>
      <c r="AH42" s="183">
        <v>73880</v>
      </c>
    </row>
    <row r="43" spans="1:34" x14ac:dyDescent="0.35">
      <c r="A43" s="289" t="s">
        <v>464</v>
      </c>
      <c r="B43" s="289" t="s">
        <v>175</v>
      </c>
      <c r="C43" s="289" t="s">
        <v>176</v>
      </c>
      <c r="D43" s="183">
        <v>9</v>
      </c>
      <c r="E43" s="183">
        <v>1626000</v>
      </c>
      <c r="F43" s="183">
        <v>5691</v>
      </c>
      <c r="G43" s="183">
        <v>1620309</v>
      </c>
      <c r="H43" s="289" t="s">
        <v>192</v>
      </c>
      <c r="I43" s="305">
        <v>29462</v>
      </c>
      <c r="J43" s="289" t="s">
        <v>231</v>
      </c>
      <c r="K43" s="183">
        <v>1610104837</v>
      </c>
      <c r="L43" s="289" t="s">
        <v>375</v>
      </c>
      <c r="M43" s="183">
        <v>4935500</v>
      </c>
      <c r="N43" s="289" t="s">
        <v>390</v>
      </c>
      <c r="O43" t="s">
        <v>176</v>
      </c>
      <c r="P43">
        <v>1626000</v>
      </c>
      <c r="Q43" s="183">
        <v>666660</v>
      </c>
      <c r="R43" s="183">
        <v>0</v>
      </c>
      <c r="S43" s="183">
        <v>0</v>
      </c>
      <c r="T43" s="183">
        <v>959340</v>
      </c>
      <c r="U43" s="183">
        <v>0</v>
      </c>
      <c r="V43" s="289" t="s">
        <v>270</v>
      </c>
      <c r="W43" s="183">
        <v>2</v>
      </c>
      <c r="X43" s="183">
        <v>1</v>
      </c>
      <c r="Y43" s="289" t="s">
        <v>175</v>
      </c>
      <c r="Z43" s="183">
        <v>16</v>
      </c>
      <c r="AA43" s="289" t="s">
        <v>465</v>
      </c>
      <c r="AB43" s="183">
        <v>1</v>
      </c>
      <c r="AC43" s="183">
        <v>1</v>
      </c>
      <c r="AD43" s="183">
        <v>2</v>
      </c>
      <c r="AE43" s="289" t="s">
        <v>378</v>
      </c>
      <c r="AF43" s="183">
        <v>1610104837</v>
      </c>
      <c r="AG43" s="289" t="s">
        <v>379</v>
      </c>
      <c r="AH43" s="183">
        <v>70881</v>
      </c>
    </row>
    <row r="45" spans="1:34" x14ac:dyDescent="0.35">
      <c r="F45">
        <f>SUM(F3:F44)</f>
        <v>3180676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5"/>
  <sheetViews>
    <sheetView showGridLines="0" zoomScale="52" zoomScaleNormal="52" workbookViewId="0">
      <selection activeCell="C11" sqref="C11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179687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344</v>
      </c>
    </row>
    <row r="2" spans="1:20" x14ac:dyDescent="0.35">
      <c r="A2" s="211" t="s">
        <v>322</v>
      </c>
      <c r="B2" s="308" t="s">
        <v>323</v>
      </c>
    </row>
    <row r="4" spans="1:20" x14ac:dyDescent="0.35">
      <c r="A4" s="393" t="s">
        <v>324</v>
      </c>
      <c r="B4" s="401" t="s">
        <v>6</v>
      </c>
      <c r="C4" s="393" t="s">
        <v>5</v>
      </c>
      <c r="D4" s="396" t="s">
        <v>342</v>
      </c>
      <c r="E4" s="396" t="s">
        <v>343</v>
      </c>
      <c r="F4" s="393" t="s">
        <v>325</v>
      </c>
      <c r="G4" s="388" t="s">
        <v>326</v>
      </c>
      <c r="H4" s="389"/>
      <c r="I4" s="389"/>
      <c r="J4" s="389"/>
      <c r="K4" s="389"/>
      <c r="L4" s="389"/>
      <c r="M4" s="389"/>
      <c r="N4" s="389"/>
      <c r="O4" s="389"/>
      <c r="P4" s="390"/>
      <c r="Q4" s="391" t="s">
        <v>327</v>
      </c>
      <c r="R4" s="393" t="s">
        <v>328</v>
      </c>
      <c r="S4" s="391" t="s">
        <v>345</v>
      </c>
      <c r="T4" s="391" t="s">
        <v>329</v>
      </c>
    </row>
    <row r="5" spans="1:20" ht="29" x14ac:dyDescent="0.35">
      <c r="A5" s="394"/>
      <c r="B5" s="402"/>
      <c r="C5" s="394"/>
      <c r="D5" s="397"/>
      <c r="E5" s="397"/>
      <c r="F5" s="394"/>
      <c r="G5" s="309" t="s">
        <v>330</v>
      </c>
      <c r="H5" s="309" t="s">
        <v>331</v>
      </c>
      <c r="I5" s="309" t="s">
        <v>332</v>
      </c>
      <c r="J5" s="309" t="s">
        <v>333</v>
      </c>
      <c r="K5" s="309" t="s">
        <v>334</v>
      </c>
      <c r="L5" s="309" t="s">
        <v>335</v>
      </c>
      <c r="M5" s="310" t="s">
        <v>336</v>
      </c>
      <c r="N5" s="311" t="s">
        <v>337</v>
      </c>
      <c r="O5" s="311" t="s">
        <v>338</v>
      </c>
      <c r="P5" s="311" t="s">
        <v>339</v>
      </c>
      <c r="Q5" s="392"/>
      <c r="R5" s="394"/>
      <c r="S5" s="394"/>
      <c r="T5" s="395"/>
    </row>
    <row r="6" spans="1:20" s="312" customFormat="1" ht="13" x14ac:dyDescent="0.3">
      <c r="A6" s="314">
        <v>1</v>
      </c>
      <c r="B6" s="315" t="str">
        <f>bpjs!C9</f>
        <v>197204052005011009</v>
      </c>
      <c r="C6" s="340" t="str">
        <f>bank!C8</f>
        <v>ALFIKRI</v>
      </c>
      <c r="D6" s="317">
        <f>G6*5</f>
        <v>8050512660</v>
      </c>
      <c r="E6" s="317">
        <f>D6</f>
        <v>8050512660</v>
      </c>
      <c r="F6" s="317">
        <f>D6+E6</f>
        <v>16101025320</v>
      </c>
      <c r="G6" s="318">
        <f>bank!H8</f>
        <v>1610102532</v>
      </c>
      <c r="H6" s="318">
        <f>G6</f>
        <v>1610102532</v>
      </c>
      <c r="I6" s="318">
        <f t="shared" ref="I6:L6" si="0">H6</f>
        <v>1610102532</v>
      </c>
      <c r="J6" s="318">
        <f t="shared" si="0"/>
        <v>1610102532</v>
      </c>
      <c r="K6" s="318">
        <f t="shared" si="0"/>
        <v>1610102532</v>
      </c>
      <c r="L6" s="318">
        <f t="shared" si="0"/>
        <v>1610102532</v>
      </c>
      <c r="M6" s="319"/>
      <c r="N6" s="319"/>
      <c r="O6" s="319"/>
      <c r="P6" s="319"/>
      <c r="Q6" s="318">
        <f>F6-SUM(G6:P6)</f>
        <v>6440410128</v>
      </c>
      <c r="R6" s="320" t="s">
        <v>340</v>
      </c>
      <c r="S6" s="316" t="s">
        <v>341</v>
      </c>
      <c r="T6" s="321"/>
    </row>
    <row r="7" spans="1:20" s="312" customFormat="1" ht="13" x14ac:dyDescent="0.3">
      <c r="A7" s="322">
        <v>2</v>
      </c>
      <c r="B7" s="323" t="str">
        <f>bpjs!C10</f>
        <v>198609142019021003</v>
      </c>
      <c r="C7" s="341" t="str">
        <f>bank!C9</f>
        <v>ALIANGGA KUSUMA</v>
      </c>
      <c r="D7" s="325">
        <f t="shared" ref="D7:D33" si="1">G7*5</f>
        <v>80545007195</v>
      </c>
      <c r="E7" s="325">
        <f t="shared" ref="E7:E33" si="2">D7</f>
        <v>80545007195</v>
      </c>
      <c r="F7" s="325">
        <f t="shared" ref="F7:F33" si="3">D7+E7</f>
        <v>161090014390</v>
      </c>
      <c r="G7" s="326">
        <f>bank!H9</f>
        <v>16109001439</v>
      </c>
      <c r="H7" s="326">
        <f t="shared" ref="H7:L7" si="4">G7</f>
        <v>16109001439</v>
      </c>
      <c r="I7" s="326">
        <f t="shared" si="4"/>
        <v>16109001439</v>
      </c>
      <c r="J7" s="326">
        <f t="shared" si="4"/>
        <v>16109001439</v>
      </c>
      <c r="K7" s="326">
        <f t="shared" si="4"/>
        <v>16109001439</v>
      </c>
      <c r="L7" s="326">
        <f t="shared" si="4"/>
        <v>16109001439</v>
      </c>
      <c r="M7" s="327"/>
      <c r="N7" s="327"/>
      <c r="O7" s="327"/>
      <c r="P7" s="327"/>
      <c r="Q7" s="326">
        <f t="shared" ref="Q7:Q33" si="5">F7-SUM(G7:P7)</f>
        <v>64436005756</v>
      </c>
      <c r="R7" s="328" t="s">
        <v>340</v>
      </c>
      <c r="S7" s="324" t="s">
        <v>341</v>
      </c>
      <c r="T7" s="329"/>
    </row>
    <row r="8" spans="1:20" s="312" customFormat="1" ht="13" x14ac:dyDescent="0.3">
      <c r="A8" s="322">
        <v>3</v>
      </c>
      <c r="B8" s="323" t="str">
        <f>bpjs!C11</f>
        <v>199001222019022005</v>
      </c>
      <c r="C8" s="341" t="str">
        <f>bank!C10</f>
        <v>DEBY SILVIA</v>
      </c>
      <c r="D8" s="325">
        <f t="shared" si="1"/>
        <v>77545007875</v>
      </c>
      <c r="E8" s="325">
        <f t="shared" si="2"/>
        <v>77545007875</v>
      </c>
      <c r="F8" s="325">
        <f t="shared" si="3"/>
        <v>155090015750</v>
      </c>
      <c r="G8" s="326">
        <f>bank!H10</f>
        <v>15509001575</v>
      </c>
      <c r="H8" s="326">
        <f t="shared" ref="H8:L8" si="6">G8</f>
        <v>15509001575</v>
      </c>
      <c r="I8" s="326">
        <f t="shared" si="6"/>
        <v>15509001575</v>
      </c>
      <c r="J8" s="326">
        <f t="shared" si="6"/>
        <v>15509001575</v>
      </c>
      <c r="K8" s="326">
        <f t="shared" si="6"/>
        <v>15509001575</v>
      </c>
      <c r="L8" s="326">
        <f t="shared" si="6"/>
        <v>15509001575</v>
      </c>
      <c r="M8" s="327"/>
      <c r="N8" s="327"/>
      <c r="O8" s="327"/>
      <c r="P8" s="327"/>
      <c r="Q8" s="326">
        <f t="shared" si="5"/>
        <v>62036006300</v>
      </c>
      <c r="R8" s="328" t="s">
        <v>340</v>
      </c>
      <c r="S8" s="324" t="s">
        <v>341</v>
      </c>
      <c r="T8" s="329"/>
    </row>
    <row r="9" spans="1:20" s="312" customFormat="1" ht="13" x14ac:dyDescent="0.3">
      <c r="A9" s="322">
        <v>4</v>
      </c>
      <c r="B9" s="323" t="str">
        <f>bpjs!C12</f>
        <v>198602012014021001</v>
      </c>
      <c r="C9" s="341" t="str">
        <f>bank!C11</f>
        <v>ERIS PRIYANA</v>
      </c>
      <c r="D9" s="325">
        <f t="shared" si="1"/>
        <v>8054526245</v>
      </c>
      <c r="E9" s="325">
        <f t="shared" si="2"/>
        <v>8054526245</v>
      </c>
      <c r="F9" s="325">
        <f t="shared" si="3"/>
        <v>16109052490</v>
      </c>
      <c r="G9" s="326">
        <f>bank!H11</f>
        <v>1610905249</v>
      </c>
      <c r="H9" s="326">
        <f t="shared" ref="H9:L9" si="7">G9</f>
        <v>1610905249</v>
      </c>
      <c r="I9" s="326">
        <f t="shared" si="7"/>
        <v>1610905249</v>
      </c>
      <c r="J9" s="326">
        <f t="shared" si="7"/>
        <v>1610905249</v>
      </c>
      <c r="K9" s="326">
        <f t="shared" si="7"/>
        <v>1610905249</v>
      </c>
      <c r="L9" s="326">
        <f t="shared" si="7"/>
        <v>1610905249</v>
      </c>
      <c r="M9" s="327"/>
      <c r="N9" s="327"/>
      <c r="O9" s="327"/>
      <c r="P9" s="327"/>
      <c r="Q9" s="326">
        <f t="shared" si="5"/>
        <v>6443620996</v>
      </c>
      <c r="R9" s="328" t="s">
        <v>340</v>
      </c>
      <c r="S9" s="324" t="s">
        <v>341</v>
      </c>
      <c r="T9" s="330"/>
    </row>
    <row r="10" spans="1:20" s="312" customFormat="1" ht="13" x14ac:dyDescent="0.3">
      <c r="A10" s="322">
        <v>5</v>
      </c>
      <c r="B10" s="323" t="str">
        <f>bpjs!C13</f>
        <v>198103152008042001</v>
      </c>
      <c r="C10" s="341" t="str">
        <f>bank!C12</f>
        <v>ERNAWATI</v>
      </c>
      <c r="D10" s="325">
        <f t="shared" si="1"/>
        <v>8050527780</v>
      </c>
      <c r="E10" s="325">
        <f t="shared" si="2"/>
        <v>8050527780</v>
      </c>
      <c r="F10" s="325">
        <f t="shared" si="3"/>
        <v>16101055560</v>
      </c>
      <c r="G10" s="326">
        <f>bank!H12</f>
        <v>1610105556</v>
      </c>
      <c r="H10" s="326">
        <f t="shared" ref="H10:L10" si="8">G10</f>
        <v>1610105556</v>
      </c>
      <c r="I10" s="326">
        <f t="shared" si="8"/>
        <v>1610105556</v>
      </c>
      <c r="J10" s="326">
        <f t="shared" si="8"/>
        <v>1610105556</v>
      </c>
      <c r="K10" s="326">
        <f t="shared" si="8"/>
        <v>1610105556</v>
      </c>
      <c r="L10" s="326">
        <f t="shared" si="8"/>
        <v>1610105556</v>
      </c>
      <c r="M10" s="327"/>
      <c r="N10" s="327"/>
      <c r="O10" s="327"/>
      <c r="P10" s="327"/>
      <c r="Q10" s="326">
        <f t="shared" si="5"/>
        <v>6440422224</v>
      </c>
      <c r="R10" s="328" t="s">
        <v>340</v>
      </c>
      <c r="S10" s="324" t="s">
        <v>341</v>
      </c>
      <c r="T10" s="329"/>
    </row>
    <row r="11" spans="1:20" s="312" customFormat="1" ht="13" x14ac:dyDescent="0.3">
      <c r="A11" s="322">
        <v>6</v>
      </c>
      <c r="B11" s="323" t="str">
        <f>bpjs!C14</f>
        <v>198809302012121002</v>
      </c>
      <c r="C11" s="341" t="str">
        <f>bank!C13</f>
        <v>FANSURI SEPTIAWAN</v>
      </c>
      <c r="D11" s="325">
        <f t="shared" si="1"/>
        <v>8050539145</v>
      </c>
      <c r="E11" s="325">
        <f t="shared" si="2"/>
        <v>8050539145</v>
      </c>
      <c r="F11" s="325">
        <f t="shared" si="3"/>
        <v>16101078290</v>
      </c>
      <c r="G11" s="326">
        <f>bank!H13</f>
        <v>1610107829</v>
      </c>
      <c r="H11" s="326">
        <f t="shared" ref="H11:L11" si="9">G11</f>
        <v>1610107829</v>
      </c>
      <c r="I11" s="326">
        <f t="shared" si="9"/>
        <v>1610107829</v>
      </c>
      <c r="J11" s="326">
        <f t="shared" si="9"/>
        <v>1610107829</v>
      </c>
      <c r="K11" s="326">
        <f t="shared" si="9"/>
        <v>1610107829</v>
      </c>
      <c r="L11" s="326">
        <f t="shared" si="9"/>
        <v>1610107829</v>
      </c>
      <c r="M11" s="327"/>
      <c r="N11" s="327"/>
      <c r="O11" s="327"/>
      <c r="P11" s="327"/>
      <c r="Q11" s="326">
        <f t="shared" si="5"/>
        <v>6440431316</v>
      </c>
      <c r="R11" s="328" t="s">
        <v>340</v>
      </c>
      <c r="S11" s="324" t="s">
        <v>341</v>
      </c>
      <c r="T11" s="329"/>
    </row>
    <row r="12" spans="1:20" s="312" customFormat="1" ht="13" x14ac:dyDescent="0.3">
      <c r="A12" s="322">
        <v>7</v>
      </c>
      <c r="B12" s="323" t="str">
        <f>bpjs!C15</f>
        <v>198410152008041002</v>
      </c>
      <c r="C12" s="341" t="str">
        <f>bank!C14</f>
        <v>FENDI BOY PARNINGOTANSITOMPUL</v>
      </c>
      <c r="D12" s="325">
        <f t="shared" si="1"/>
        <v>8054530140</v>
      </c>
      <c r="E12" s="325">
        <f t="shared" si="2"/>
        <v>8054530140</v>
      </c>
      <c r="F12" s="325">
        <f t="shared" si="3"/>
        <v>16109060280</v>
      </c>
      <c r="G12" s="326">
        <f>bank!H14</f>
        <v>1610906028</v>
      </c>
      <c r="H12" s="326">
        <f t="shared" ref="H12:L12" si="10">G12</f>
        <v>1610906028</v>
      </c>
      <c r="I12" s="326">
        <f t="shared" si="10"/>
        <v>1610906028</v>
      </c>
      <c r="J12" s="326">
        <f t="shared" si="10"/>
        <v>1610906028</v>
      </c>
      <c r="K12" s="326">
        <f t="shared" si="10"/>
        <v>1610906028</v>
      </c>
      <c r="L12" s="326">
        <f t="shared" si="10"/>
        <v>1610906028</v>
      </c>
      <c r="M12" s="327"/>
      <c r="N12" s="327"/>
      <c r="O12" s="327"/>
      <c r="P12" s="327"/>
      <c r="Q12" s="326">
        <f t="shared" si="5"/>
        <v>6443624112</v>
      </c>
      <c r="R12" s="328" t="s">
        <v>340</v>
      </c>
      <c r="S12" s="324" t="s">
        <v>341</v>
      </c>
      <c r="T12" s="329"/>
    </row>
    <row r="13" spans="1:20" s="312" customFormat="1" ht="13" x14ac:dyDescent="0.3">
      <c r="A13" s="322">
        <v>8</v>
      </c>
      <c r="B13" s="323" t="str">
        <f>bpjs!C16</f>
        <v>198612282011012005</v>
      </c>
      <c r="C13" s="341" t="str">
        <f>bank!C15</f>
        <v>FITRIA NILAM SYARI</v>
      </c>
      <c r="D13" s="325">
        <f t="shared" si="1"/>
        <v>8050534855</v>
      </c>
      <c r="E13" s="325">
        <f t="shared" si="2"/>
        <v>8050534855</v>
      </c>
      <c r="F13" s="325">
        <f t="shared" si="3"/>
        <v>16101069710</v>
      </c>
      <c r="G13" s="326">
        <f>bank!H15</f>
        <v>1610106971</v>
      </c>
      <c r="H13" s="326">
        <f t="shared" ref="H13:L13" si="11">G13</f>
        <v>1610106971</v>
      </c>
      <c r="I13" s="326">
        <f t="shared" si="11"/>
        <v>1610106971</v>
      </c>
      <c r="J13" s="326">
        <f t="shared" si="11"/>
        <v>1610106971</v>
      </c>
      <c r="K13" s="326">
        <f t="shared" si="11"/>
        <v>1610106971</v>
      </c>
      <c r="L13" s="326">
        <f t="shared" si="11"/>
        <v>1610106971</v>
      </c>
      <c r="M13" s="327"/>
      <c r="N13" s="327"/>
      <c r="O13" s="327"/>
      <c r="P13" s="327"/>
      <c r="Q13" s="326">
        <f t="shared" si="5"/>
        <v>6440427884</v>
      </c>
      <c r="R13" s="328" t="s">
        <v>340</v>
      </c>
      <c r="S13" s="324" t="s">
        <v>341</v>
      </c>
      <c r="T13" s="329"/>
    </row>
    <row r="14" spans="1:20" s="312" customFormat="1" ht="13" x14ac:dyDescent="0.3">
      <c r="A14" s="322">
        <v>9</v>
      </c>
      <c r="B14" s="323" t="str">
        <f>bpjs!C17</f>
        <v>198109012008041001</v>
      </c>
      <c r="C14" s="341" t="str">
        <f>bank!C16</f>
        <v>HADI PURWANTO</v>
      </c>
      <c r="D14" s="325">
        <f t="shared" si="1"/>
        <v>8050532900</v>
      </c>
      <c r="E14" s="325">
        <f t="shared" si="2"/>
        <v>8050532900</v>
      </c>
      <c r="F14" s="325">
        <f t="shared" si="3"/>
        <v>16101065800</v>
      </c>
      <c r="G14" s="326">
        <f>bank!H16</f>
        <v>1610106580</v>
      </c>
      <c r="H14" s="326">
        <f t="shared" ref="H14:L14" si="12">G14</f>
        <v>1610106580</v>
      </c>
      <c r="I14" s="326">
        <f t="shared" si="12"/>
        <v>1610106580</v>
      </c>
      <c r="J14" s="326">
        <f t="shared" si="12"/>
        <v>1610106580</v>
      </c>
      <c r="K14" s="326">
        <f t="shared" si="12"/>
        <v>1610106580</v>
      </c>
      <c r="L14" s="326">
        <f t="shared" si="12"/>
        <v>1610106580</v>
      </c>
      <c r="M14" s="327"/>
      <c r="N14" s="327"/>
      <c r="O14" s="327"/>
      <c r="P14" s="327"/>
      <c r="Q14" s="326">
        <f t="shared" si="5"/>
        <v>6440426320</v>
      </c>
      <c r="R14" s="328" t="s">
        <v>340</v>
      </c>
      <c r="S14" s="324" t="s">
        <v>341</v>
      </c>
      <c r="T14" s="329"/>
    </row>
    <row r="15" spans="1:20" s="312" customFormat="1" ht="13" x14ac:dyDescent="0.3">
      <c r="A15" s="322">
        <v>10</v>
      </c>
      <c r="B15" s="323" t="str">
        <f>bpjs!C18</f>
        <v>197406182006041009</v>
      </c>
      <c r="C15" s="341" t="str">
        <f>bank!C17</f>
        <v>HENDRI</v>
      </c>
      <c r="D15" s="325">
        <f t="shared" si="1"/>
        <v>7200527405</v>
      </c>
      <c r="E15" s="325">
        <f t="shared" si="2"/>
        <v>7200527405</v>
      </c>
      <c r="F15" s="325">
        <f t="shared" si="3"/>
        <v>14401054810</v>
      </c>
      <c r="G15" s="326">
        <f>bank!H17</f>
        <v>1440105481</v>
      </c>
      <c r="H15" s="326">
        <f t="shared" ref="H15:L15" si="13">G15</f>
        <v>1440105481</v>
      </c>
      <c r="I15" s="326">
        <f t="shared" si="13"/>
        <v>1440105481</v>
      </c>
      <c r="J15" s="326">
        <f t="shared" si="13"/>
        <v>1440105481</v>
      </c>
      <c r="K15" s="326">
        <f t="shared" si="13"/>
        <v>1440105481</v>
      </c>
      <c r="L15" s="326">
        <f t="shared" si="13"/>
        <v>1440105481</v>
      </c>
      <c r="M15" s="327"/>
      <c r="N15" s="327"/>
      <c r="O15" s="327"/>
      <c r="P15" s="327"/>
      <c r="Q15" s="326">
        <f t="shared" si="5"/>
        <v>5760421924</v>
      </c>
      <c r="R15" s="328" t="s">
        <v>340</v>
      </c>
      <c r="S15" s="324" t="s">
        <v>341</v>
      </c>
      <c r="T15" s="329"/>
    </row>
    <row r="16" spans="1:20" s="312" customFormat="1" ht="13" x14ac:dyDescent="0.3">
      <c r="A16" s="322">
        <v>11</v>
      </c>
      <c r="B16" s="323" t="str">
        <f>bpjs!C19</f>
        <v>198108252011011004</v>
      </c>
      <c r="C16" s="341" t="str">
        <f>bank!C18</f>
        <v>IFHAN FUADI</v>
      </c>
      <c r="D16" s="325">
        <f t="shared" si="1"/>
        <v>7300535625</v>
      </c>
      <c r="E16" s="325">
        <f t="shared" si="2"/>
        <v>7300535625</v>
      </c>
      <c r="F16" s="325">
        <f t="shared" si="3"/>
        <v>14601071250</v>
      </c>
      <c r="G16" s="326">
        <f>bank!H18</f>
        <v>1460107125</v>
      </c>
      <c r="H16" s="326">
        <f t="shared" ref="H16:L16" si="14">G16</f>
        <v>1460107125</v>
      </c>
      <c r="I16" s="326">
        <f t="shared" si="14"/>
        <v>1460107125</v>
      </c>
      <c r="J16" s="326">
        <f t="shared" si="14"/>
        <v>1460107125</v>
      </c>
      <c r="K16" s="326">
        <f t="shared" si="14"/>
        <v>1460107125</v>
      </c>
      <c r="L16" s="326">
        <f t="shared" si="14"/>
        <v>1460107125</v>
      </c>
      <c r="M16" s="327"/>
      <c r="N16" s="327"/>
      <c r="O16" s="327"/>
      <c r="P16" s="327"/>
      <c r="Q16" s="326">
        <f t="shared" si="5"/>
        <v>5840428500</v>
      </c>
      <c r="R16" s="328" t="s">
        <v>340</v>
      </c>
      <c r="S16" s="324" t="s">
        <v>341</v>
      </c>
      <c r="T16" s="329"/>
    </row>
    <row r="17" spans="1:20" s="312" customFormat="1" ht="13" x14ac:dyDescent="0.3">
      <c r="A17" s="322">
        <v>12</v>
      </c>
      <c r="B17" s="323" t="str">
        <f>bpjs!C20</f>
        <v>198108182005012011</v>
      </c>
      <c r="C17" s="341" t="str">
        <f>bank!C19</f>
        <v>INNAMA FAJARWATI</v>
      </c>
      <c r="D17" s="325">
        <f t="shared" si="1"/>
        <v>9504504845</v>
      </c>
      <c r="E17" s="325">
        <f t="shared" si="2"/>
        <v>9504504845</v>
      </c>
      <c r="F17" s="325">
        <f t="shared" si="3"/>
        <v>19009009690</v>
      </c>
      <c r="G17" s="326">
        <f>bank!H19</f>
        <v>1900900969</v>
      </c>
      <c r="H17" s="326">
        <f t="shared" ref="H17:L17" si="15">G17</f>
        <v>1900900969</v>
      </c>
      <c r="I17" s="326">
        <f t="shared" si="15"/>
        <v>1900900969</v>
      </c>
      <c r="J17" s="326">
        <f t="shared" si="15"/>
        <v>1900900969</v>
      </c>
      <c r="K17" s="326">
        <f t="shared" si="15"/>
        <v>1900900969</v>
      </c>
      <c r="L17" s="326">
        <f t="shared" si="15"/>
        <v>1900900969</v>
      </c>
      <c r="M17" s="327"/>
      <c r="N17" s="327"/>
      <c r="O17" s="327"/>
      <c r="P17" s="327"/>
      <c r="Q17" s="326">
        <f t="shared" si="5"/>
        <v>7603603876</v>
      </c>
      <c r="R17" s="328" t="s">
        <v>340</v>
      </c>
      <c r="S17" s="324" t="s">
        <v>341</v>
      </c>
      <c r="T17" s="329"/>
    </row>
    <row r="18" spans="1:20" s="312" customFormat="1" ht="13" x14ac:dyDescent="0.3">
      <c r="A18" s="322">
        <v>13</v>
      </c>
      <c r="B18" s="323" t="str">
        <f>bpjs!C21</f>
        <v>198204262010012009</v>
      </c>
      <c r="C18" s="341" t="str">
        <f>bank!C20</f>
        <v>JUMIATI</v>
      </c>
      <c r="D18" s="325">
        <f t="shared" si="1"/>
        <v>8054508390</v>
      </c>
      <c r="E18" s="325">
        <f t="shared" si="2"/>
        <v>8054508390</v>
      </c>
      <c r="F18" s="325">
        <f t="shared" si="3"/>
        <v>16109016780</v>
      </c>
      <c r="G18" s="326">
        <f>bank!H20</f>
        <v>1610901678</v>
      </c>
      <c r="H18" s="326">
        <f t="shared" ref="H18:L18" si="16">G18</f>
        <v>1610901678</v>
      </c>
      <c r="I18" s="326">
        <f t="shared" si="16"/>
        <v>1610901678</v>
      </c>
      <c r="J18" s="326">
        <f t="shared" si="16"/>
        <v>1610901678</v>
      </c>
      <c r="K18" s="326">
        <f t="shared" si="16"/>
        <v>1610901678</v>
      </c>
      <c r="L18" s="326">
        <f t="shared" si="16"/>
        <v>1610901678</v>
      </c>
      <c r="M18" s="327"/>
      <c r="N18" s="327"/>
      <c r="O18" s="327"/>
      <c r="P18" s="327"/>
      <c r="Q18" s="326">
        <f t="shared" si="5"/>
        <v>6443606712</v>
      </c>
      <c r="R18" s="328" t="s">
        <v>340</v>
      </c>
      <c r="S18" s="324" t="s">
        <v>341</v>
      </c>
      <c r="T18" s="329"/>
    </row>
    <row r="19" spans="1:20" s="312" customFormat="1" ht="13" x14ac:dyDescent="0.3">
      <c r="A19" s="322">
        <v>14</v>
      </c>
      <c r="B19" s="323" t="str">
        <f>bpjs!C22</f>
        <v>198904302012122004</v>
      </c>
      <c r="C19" s="341" t="str">
        <f>bank!C21</f>
        <v>KUSTIA APRILIA</v>
      </c>
      <c r="D19" s="325">
        <f t="shared" si="1"/>
        <v>8054520350</v>
      </c>
      <c r="E19" s="325">
        <f t="shared" si="2"/>
        <v>8054520350</v>
      </c>
      <c r="F19" s="325">
        <f t="shared" si="3"/>
        <v>16109040700</v>
      </c>
      <c r="G19" s="326">
        <f>bank!H21</f>
        <v>1610904070</v>
      </c>
      <c r="H19" s="326">
        <f t="shared" ref="H19:L19" si="17">G19</f>
        <v>1610904070</v>
      </c>
      <c r="I19" s="326">
        <f t="shared" si="17"/>
        <v>1610904070</v>
      </c>
      <c r="J19" s="326">
        <f t="shared" si="17"/>
        <v>1610904070</v>
      </c>
      <c r="K19" s="326">
        <f t="shared" si="17"/>
        <v>1610904070</v>
      </c>
      <c r="L19" s="326">
        <f t="shared" si="17"/>
        <v>1610904070</v>
      </c>
      <c r="M19" s="327"/>
      <c r="N19" s="327"/>
      <c r="O19" s="327"/>
      <c r="P19" s="327"/>
      <c r="Q19" s="326">
        <f t="shared" si="5"/>
        <v>6443616280</v>
      </c>
      <c r="R19" s="328" t="s">
        <v>340</v>
      </c>
      <c r="S19" s="324" t="s">
        <v>341</v>
      </c>
      <c r="T19" s="329"/>
    </row>
    <row r="20" spans="1:20" s="312" customFormat="1" ht="13" x14ac:dyDescent="0.3">
      <c r="A20" s="322">
        <v>15</v>
      </c>
      <c r="B20" s="323" t="str">
        <f>bpjs!C23</f>
        <v>198203272008042001</v>
      </c>
      <c r="C20" s="341" t="str">
        <f>bank!C22</f>
        <v>LINDA SUNARYA</v>
      </c>
      <c r="D20" s="325">
        <f t="shared" si="1"/>
        <v>8050528975</v>
      </c>
      <c r="E20" s="325">
        <f t="shared" si="2"/>
        <v>8050528975</v>
      </c>
      <c r="F20" s="325">
        <f t="shared" si="3"/>
        <v>16101057950</v>
      </c>
      <c r="G20" s="326">
        <f>bank!H22</f>
        <v>1610105795</v>
      </c>
      <c r="H20" s="326">
        <f t="shared" ref="H20:L20" si="18">G20</f>
        <v>1610105795</v>
      </c>
      <c r="I20" s="326">
        <f t="shared" si="18"/>
        <v>1610105795</v>
      </c>
      <c r="J20" s="326">
        <f t="shared" si="18"/>
        <v>1610105795</v>
      </c>
      <c r="K20" s="326">
        <f t="shared" si="18"/>
        <v>1610105795</v>
      </c>
      <c r="L20" s="326">
        <f t="shared" si="18"/>
        <v>1610105795</v>
      </c>
      <c r="M20" s="327"/>
      <c r="N20" s="327"/>
      <c r="O20" s="327"/>
      <c r="P20" s="327"/>
      <c r="Q20" s="326">
        <f t="shared" si="5"/>
        <v>6440423180</v>
      </c>
      <c r="R20" s="328" t="s">
        <v>340</v>
      </c>
      <c r="S20" s="324" t="s">
        <v>341</v>
      </c>
      <c r="T20" s="329"/>
    </row>
    <row r="21" spans="1:20" s="312" customFormat="1" ht="13" x14ac:dyDescent="0.3">
      <c r="A21" s="322">
        <v>16</v>
      </c>
      <c r="B21" s="323" t="str">
        <f>bpjs!C24</f>
        <v>196807211999032002</v>
      </c>
      <c r="C21" s="341" t="str">
        <f>bank!C23</f>
        <v>LISMASARI</v>
      </c>
      <c r="D21" s="325">
        <f t="shared" si="1"/>
        <v>8050505040</v>
      </c>
      <c r="E21" s="325">
        <f t="shared" si="2"/>
        <v>8050505040</v>
      </c>
      <c r="F21" s="325">
        <f t="shared" si="3"/>
        <v>16101010080</v>
      </c>
      <c r="G21" s="326">
        <f>bank!H23</f>
        <v>1610101008</v>
      </c>
      <c r="H21" s="326">
        <f t="shared" ref="H21:L21" si="19">G21</f>
        <v>1610101008</v>
      </c>
      <c r="I21" s="326">
        <f t="shared" si="19"/>
        <v>1610101008</v>
      </c>
      <c r="J21" s="326">
        <f t="shared" si="19"/>
        <v>1610101008</v>
      </c>
      <c r="K21" s="326">
        <f t="shared" si="19"/>
        <v>1610101008</v>
      </c>
      <c r="L21" s="326">
        <f t="shared" si="19"/>
        <v>1610101008</v>
      </c>
      <c r="M21" s="327"/>
      <c r="N21" s="327"/>
      <c r="O21" s="327"/>
      <c r="P21" s="327"/>
      <c r="Q21" s="326">
        <f t="shared" si="5"/>
        <v>6440404032</v>
      </c>
      <c r="R21" s="328" t="s">
        <v>340</v>
      </c>
      <c r="S21" s="324" t="s">
        <v>341</v>
      </c>
      <c r="T21" s="329"/>
    </row>
    <row r="22" spans="1:20" s="312" customFormat="1" ht="13" x14ac:dyDescent="0.3">
      <c r="A22" s="322">
        <v>17</v>
      </c>
      <c r="B22" s="323" t="str">
        <f>bpjs!C25</f>
        <v>NIP tidak ditemukan</v>
      </c>
      <c r="C22" s="341" t="str">
        <f>bank!C24</f>
        <v>LUQMAN SYARIEF</v>
      </c>
      <c r="D22" s="325" t="e">
        <f t="shared" si="1"/>
        <v>#VALUE!</v>
      </c>
      <c r="E22" s="325" t="e">
        <f t="shared" si="2"/>
        <v>#VALUE!</v>
      </c>
      <c r="F22" s="325" t="e">
        <f t="shared" si="3"/>
        <v>#VALUE!</v>
      </c>
      <c r="G22" s="326" t="str">
        <f>bank!H24</f>
        <v>NIP tidak ditemukan</v>
      </c>
      <c r="H22" s="326" t="str">
        <f t="shared" ref="H22:L22" si="20">G22</f>
        <v>NIP tidak ditemukan</v>
      </c>
      <c r="I22" s="326" t="str">
        <f t="shared" si="20"/>
        <v>NIP tidak ditemukan</v>
      </c>
      <c r="J22" s="326" t="str">
        <f t="shared" si="20"/>
        <v>NIP tidak ditemukan</v>
      </c>
      <c r="K22" s="326" t="str">
        <f t="shared" si="20"/>
        <v>NIP tidak ditemukan</v>
      </c>
      <c r="L22" s="326" t="str">
        <f t="shared" si="20"/>
        <v>NIP tidak ditemukan</v>
      </c>
      <c r="M22" s="327"/>
      <c r="N22" s="327"/>
      <c r="O22" s="327"/>
      <c r="P22" s="327"/>
      <c r="Q22" s="326" t="e">
        <f t="shared" si="5"/>
        <v>#VALUE!</v>
      </c>
      <c r="R22" s="328" t="s">
        <v>340</v>
      </c>
      <c r="S22" s="324" t="s">
        <v>341</v>
      </c>
      <c r="T22" s="329"/>
    </row>
    <row r="23" spans="1:20" s="312" customFormat="1" ht="13" x14ac:dyDescent="0.3">
      <c r="A23" s="322">
        <v>18</v>
      </c>
      <c r="B23" s="323" t="str">
        <f>bpjs!C26</f>
        <v>198803192014021001</v>
      </c>
      <c r="C23" s="341" t="str">
        <f>bank!C25</f>
        <v>MARHAYSON</v>
      </c>
      <c r="D23" s="325">
        <f t="shared" si="1"/>
        <v>8054526225</v>
      </c>
      <c r="E23" s="325">
        <f t="shared" si="2"/>
        <v>8054526225</v>
      </c>
      <c r="F23" s="325">
        <f t="shared" si="3"/>
        <v>16109052450</v>
      </c>
      <c r="G23" s="326">
        <f>bank!H25</f>
        <v>1610905245</v>
      </c>
      <c r="H23" s="326">
        <f t="shared" ref="H23:L23" si="21">G23</f>
        <v>1610905245</v>
      </c>
      <c r="I23" s="326">
        <f t="shared" si="21"/>
        <v>1610905245</v>
      </c>
      <c r="J23" s="326">
        <f t="shared" si="21"/>
        <v>1610905245</v>
      </c>
      <c r="K23" s="326">
        <f t="shared" si="21"/>
        <v>1610905245</v>
      </c>
      <c r="L23" s="326">
        <f t="shared" si="21"/>
        <v>1610905245</v>
      </c>
      <c r="M23" s="327"/>
      <c r="N23" s="327"/>
      <c r="O23" s="327"/>
      <c r="P23" s="327"/>
      <c r="Q23" s="326">
        <f t="shared" si="5"/>
        <v>6443620980</v>
      </c>
      <c r="R23" s="328" t="s">
        <v>340</v>
      </c>
      <c r="S23" s="324" t="s">
        <v>341</v>
      </c>
      <c r="T23" s="329"/>
    </row>
    <row r="24" spans="1:20" s="312" customFormat="1" ht="13" x14ac:dyDescent="0.3">
      <c r="A24" s="322">
        <v>19</v>
      </c>
      <c r="B24" s="323" t="str">
        <f>bpjs!C27</f>
        <v>198502272009032001</v>
      </c>
      <c r="C24" s="341" t="str">
        <f>bank!C26</f>
        <v>MARLIYANTI</v>
      </c>
      <c r="D24" s="325">
        <f t="shared" si="1"/>
        <v>8050524875</v>
      </c>
      <c r="E24" s="325">
        <f t="shared" si="2"/>
        <v>8050524875</v>
      </c>
      <c r="F24" s="325">
        <f t="shared" si="3"/>
        <v>16101049750</v>
      </c>
      <c r="G24" s="326">
        <f>bank!H26</f>
        <v>1610104975</v>
      </c>
      <c r="H24" s="326">
        <f t="shared" ref="H24:L24" si="22">G24</f>
        <v>1610104975</v>
      </c>
      <c r="I24" s="326">
        <f t="shared" si="22"/>
        <v>1610104975</v>
      </c>
      <c r="J24" s="326">
        <f t="shared" si="22"/>
        <v>1610104975</v>
      </c>
      <c r="K24" s="326">
        <f t="shared" si="22"/>
        <v>1610104975</v>
      </c>
      <c r="L24" s="326">
        <f t="shared" si="22"/>
        <v>1610104975</v>
      </c>
      <c r="M24" s="327"/>
      <c r="N24" s="327"/>
      <c r="O24" s="327"/>
      <c r="P24" s="327"/>
      <c r="Q24" s="326">
        <f t="shared" si="5"/>
        <v>6440419900</v>
      </c>
      <c r="R24" s="328" t="s">
        <v>340</v>
      </c>
      <c r="S24" s="324" t="s">
        <v>341</v>
      </c>
      <c r="T24" s="329"/>
    </row>
    <row r="25" spans="1:20" s="312" customFormat="1" ht="13" x14ac:dyDescent="0.3">
      <c r="A25" s="322">
        <v>20</v>
      </c>
      <c r="B25" s="323" t="str">
        <f>bpjs!C28</f>
        <v>197907062006042016</v>
      </c>
      <c r="C25" s="341" t="str">
        <f>bank!C27</f>
        <v>MARNI</v>
      </c>
      <c r="D25" s="325">
        <f t="shared" si="1"/>
        <v>8050519100</v>
      </c>
      <c r="E25" s="325">
        <f t="shared" si="2"/>
        <v>8050519100</v>
      </c>
      <c r="F25" s="325">
        <f t="shared" si="3"/>
        <v>16101038200</v>
      </c>
      <c r="G25" s="326">
        <f>bank!H27</f>
        <v>1610103820</v>
      </c>
      <c r="H25" s="326">
        <f t="shared" ref="H25:L25" si="23">G25</f>
        <v>1610103820</v>
      </c>
      <c r="I25" s="326">
        <f t="shared" si="23"/>
        <v>1610103820</v>
      </c>
      <c r="J25" s="326">
        <f t="shared" si="23"/>
        <v>1610103820</v>
      </c>
      <c r="K25" s="326">
        <f t="shared" si="23"/>
        <v>1610103820</v>
      </c>
      <c r="L25" s="326">
        <f t="shared" si="23"/>
        <v>1610103820</v>
      </c>
      <c r="M25" s="327"/>
      <c r="N25" s="327"/>
      <c r="O25" s="327"/>
      <c r="P25" s="327"/>
      <c r="Q25" s="326">
        <f t="shared" si="5"/>
        <v>6440415280</v>
      </c>
      <c r="R25" s="328" t="s">
        <v>340</v>
      </c>
      <c r="S25" s="324" t="s">
        <v>341</v>
      </c>
      <c r="T25" s="329"/>
    </row>
    <row r="26" spans="1:20" s="312" customFormat="1" ht="13" x14ac:dyDescent="0.3">
      <c r="A26" s="322">
        <v>21</v>
      </c>
      <c r="B26" s="323" t="str">
        <f>bpjs!C29</f>
        <v>198611132010012005</v>
      </c>
      <c r="C26" s="341" t="str">
        <f>bank!C28</f>
        <v>NURWAZATTI ESA</v>
      </c>
      <c r="D26" s="325">
        <f t="shared" si="1"/>
        <v>8050530635</v>
      </c>
      <c r="E26" s="325">
        <f t="shared" si="2"/>
        <v>8050530635</v>
      </c>
      <c r="F26" s="325">
        <f t="shared" si="3"/>
        <v>16101061270</v>
      </c>
      <c r="G26" s="326">
        <f>bank!H28</f>
        <v>1610106127</v>
      </c>
      <c r="H26" s="326">
        <f t="shared" ref="H26:L26" si="24">G26</f>
        <v>1610106127</v>
      </c>
      <c r="I26" s="326">
        <f t="shared" si="24"/>
        <v>1610106127</v>
      </c>
      <c r="J26" s="326">
        <f t="shared" si="24"/>
        <v>1610106127</v>
      </c>
      <c r="K26" s="326">
        <f t="shared" si="24"/>
        <v>1610106127</v>
      </c>
      <c r="L26" s="326">
        <f t="shared" si="24"/>
        <v>1610106127</v>
      </c>
      <c r="M26" s="327"/>
      <c r="N26" s="327"/>
      <c r="O26" s="327"/>
      <c r="P26" s="327"/>
      <c r="Q26" s="326">
        <f t="shared" si="5"/>
        <v>6440424508</v>
      </c>
      <c r="R26" s="328" t="s">
        <v>340</v>
      </c>
      <c r="S26" s="324" t="s">
        <v>341</v>
      </c>
      <c r="T26" s="329"/>
    </row>
    <row r="27" spans="1:20" s="312" customFormat="1" ht="13" x14ac:dyDescent="0.3">
      <c r="A27" s="322">
        <v>22</v>
      </c>
      <c r="B27" s="323" t="str">
        <f>bpjs!C30</f>
        <v>197902192010012005</v>
      </c>
      <c r="C27" s="341" t="str">
        <f>bank!C29</f>
        <v>PADILAWATI</v>
      </c>
      <c r="D27" s="325">
        <f t="shared" si="1"/>
        <v>8050504395</v>
      </c>
      <c r="E27" s="325">
        <f t="shared" si="2"/>
        <v>8050504395</v>
      </c>
      <c r="F27" s="325">
        <f t="shared" si="3"/>
        <v>16101008790</v>
      </c>
      <c r="G27" s="326">
        <f>bank!H29</f>
        <v>1610100879</v>
      </c>
      <c r="H27" s="326">
        <f t="shared" ref="H27:L27" si="25">G27</f>
        <v>1610100879</v>
      </c>
      <c r="I27" s="326">
        <f t="shared" si="25"/>
        <v>1610100879</v>
      </c>
      <c r="J27" s="326">
        <f t="shared" si="25"/>
        <v>1610100879</v>
      </c>
      <c r="K27" s="326">
        <f t="shared" si="25"/>
        <v>1610100879</v>
      </c>
      <c r="L27" s="326">
        <f t="shared" si="25"/>
        <v>1610100879</v>
      </c>
      <c r="M27" s="327"/>
      <c r="N27" s="327"/>
      <c r="O27" s="327"/>
      <c r="P27" s="327"/>
      <c r="Q27" s="326">
        <f t="shared" si="5"/>
        <v>6440403516</v>
      </c>
      <c r="R27" s="328" t="s">
        <v>340</v>
      </c>
      <c r="S27" s="324" t="s">
        <v>341</v>
      </c>
      <c r="T27" s="329"/>
    </row>
    <row r="28" spans="1:20" s="312" customFormat="1" ht="13" x14ac:dyDescent="0.3">
      <c r="A28" s="322">
        <v>23</v>
      </c>
      <c r="B28" s="323" t="str">
        <f>bpjs!C31</f>
        <v>197608312006041006</v>
      </c>
      <c r="C28" s="341" t="str">
        <f>bank!C30</f>
        <v>RIZALDI</v>
      </c>
      <c r="D28" s="325">
        <f t="shared" si="1"/>
        <v>8050521810</v>
      </c>
      <c r="E28" s="325">
        <f t="shared" si="2"/>
        <v>8050521810</v>
      </c>
      <c r="F28" s="325">
        <f t="shared" si="3"/>
        <v>16101043620</v>
      </c>
      <c r="G28" s="326">
        <f>bank!H30</f>
        <v>1610104362</v>
      </c>
      <c r="H28" s="326">
        <f t="shared" ref="H28:L28" si="26">G28</f>
        <v>1610104362</v>
      </c>
      <c r="I28" s="326">
        <f t="shared" si="26"/>
        <v>1610104362</v>
      </c>
      <c r="J28" s="326">
        <f t="shared" si="26"/>
        <v>1610104362</v>
      </c>
      <c r="K28" s="326">
        <f t="shared" si="26"/>
        <v>1610104362</v>
      </c>
      <c r="L28" s="326">
        <f t="shared" si="26"/>
        <v>1610104362</v>
      </c>
      <c r="M28" s="327"/>
      <c r="N28" s="327"/>
      <c r="O28" s="327"/>
      <c r="P28" s="327"/>
      <c r="Q28" s="326">
        <f t="shared" si="5"/>
        <v>6440417448</v>
      </c>
      <c r="R28" s="328" t="s">
        <v>340</v>
      </c>
      <c r="S28" s="324" t="s">
        <v>341</v>
      </c>
      <c r="T28" s="329"/>
    </row>
    <row r="29" spans="1:20" s="312" customFormat="1" ht="13" x14ac:dyDescent="0.3">
      <c r="A29" s="322">
        <v>24</v>
      </c>
      <c r="B29" s="323" t="str">
        <f>bpjs!C32</f>
        <v>198112102009032002</v>
      </c>
      <c r="C29" s="341" t="str">
        <f>bank!C31</f>
        <v>SRI HANDAYANI</v>
      </c>
      <c r="D29" s="325">
        <f t="shared" si="1"/>
        <v>8050524200</v>
      </c>
      <c r="E29" s="325">
        <f t="shared" si="2"/>
        <v>8050524200</v>
      </c>
      <c r="F29" s="325">
        <f t="shared" si="3"/>
        <v>16101048400</v>
      </c>
      <c r="G29" s="326">
        <f>bank!H31</f>
        <v>1610104840</v>
      </c>
      <c r="H29" s="326">
        <f t="shared" ref="H29:L29" si="27">G29</f>
        <v>1610104840</v>
      </c>
      <c r="I29" s="326">
        <f t="shared" si="27"/>
        <v>1610104840</v>
      </c>
      <c r="J29" s="326">
        <f t="shared" si="27"/>
        <v>1610104840</v>
      </c>
      <c r="K29" s="326">
        <f t="shared" si="27"/>
        <v>1610104840</v>
      </c>
      <c r="L29" s="326">
        <f t="shared" si="27"/>
        <v>1610104840</v>
      </c>
      <c r="M29" s="327"/>
      <c r="N29" s="327"/>
      <c r="O29" s="327"/>
      <c r="P29" s="327"/>
      <c r="Q29" s="326">
        <f t="shared" si="5"/>
        <v>6440419360</v>
      </c>
      <c r="R29" s="328" t="s">
        <v>340</v>
      </c>
      <c r="S29" s="324" t="s">
        <v>341</v>
      </c>
      <c r="T29" s="329"/>
    </row>
    <row r="30" spans="1:20" s="312" customFormat="1" ht="13" x14ac:dyDescent="0.3">
      <c r="A30" s="322">
        <v>25</v>
      </c>
      <c r="B30" s="323" t="str">
        <f>bpjs!C33</f>
        <v>197708262006041005</v>
      </c>
      <c r="C30" s="341" t="str">
        <f>bank!C32</f>
        <v>SYAHRYANTO</v>
      </c>
      <c r="D30" s="325">
        <f t="shared" si="1"/>
        <v>8050512425</v>
      </c>
      <c r="E30" s="325">
        <f t="shared" si="2"/>
        <v>8050512425</v>
      </c>
      <c r="F30" s="325">
        <f t="shared" si="3"/>
        <v>16101024850</v>
      </c>
      <c r="G30" s="326">
        <f>bank!H32</f>
        <v>1610102485</v>
      </c>
      <c r="H30" s="326">
        <f t="shared" ref="H30:L30" si="28">G30</f>
        <v>1610102485</v>
      </c>
      <c r="I30" s="326">
        <f t="shared" si="28"/>
        <v>1610102485</v>
      </c>
      <c r="J30" s="326">
        <f t="shared" si="28"/>
        <v>1610102485</v>
      </c>
      <c r="K30" s="326">
        <f t="shared" si="28"/>
        <v>1610102485</v>
      </c>
      <c r="L30" s="326">
        <f t="shared" si="28"/>
        <v>1610102485</v>
      </c>
      <c r="M30" s="327"/>
      <c r="N30" s="327"/>
      <c r="O30" s="327"/>
      <c r="P30" s="327"/>
      <c r="Q30" s="326">
        <f t="shared" si="5"/>
        <v>6440409940</v>
      </c>
      <c r="R30" s="328" t="s">
        <v>340</v>
      </c>
      <c r="S30" s="324" t="s">
        <v>341</v>
      </c>
      <c r="T30" s="329"/>
    </row>
    <row r="31" spans="1:20" s="312" customFormat="1" ht="13" x14ac:dyDescent="0.3">
      <c r="A31" s="322">
        <v>26</v>
      </c>
      <c r="B31" s="323" t="str">
        <f>bpjs!C34</f>
        <v>197009032009032001</v>
      </c>
      <c r="C31" s="341" t="str">
        <f>bank!C33</f>
        <v>SYAMSIAH</v>
      </c>
      <c r="D31" s="325">
        <f t="shared" si="1"/>
        <v>8050500705</v>
      </c>
      <c r="E31" s="325">
        <f t="shared" si="2"/>
        <v>8050500705</v>
      </c>
      <c r="F31" s="325">
        <f t="shared" si="3"/>
        <v>16101001410</v>
      </c>
      <c r="G31" s="326">
        <f>bank!H33</f>
        <v>1610100141</v>
      </c>
      <c r="H31" s="326">
        <f t="shared" ref="H31:L31" si="29">G31</f>
        <v>1610100141</v>
      </c>
      <c r="I31" s="326">
        <f t="shared" si="29"/>
        <v>1610100141</v>
      </c>
      <c r="J31" s="326">
        <f t="shared" si="29"/>
        <v>1610100141</v>
      </c>
      <c r="K31" s="326">
        <f t="shared" si="29"/>
        <v>1610100141</v>
      </c>
      <c r="L31" s="326">
        <f t="shared" si="29"/>
        <v>1610100141</v>
      </c>
      <c r="M31" s="327"/>
      <c r="N31" s="327"/>
      <c r="O31" s="327"/>
      <c r="P31" s="327"/>
      <c r="Q31" s="326">
        <f t="shared" si="5"/>
        <v>6440400564</v>
      </c>
      <c r="R31" s="328" t="s">
        <v>340</v>
      </c>
      <c r="S31" s="324" t="s">
        <v>341</v>
      </c>
      <c r="T31" s="329"/>
    </row>
    <row r="32" spans="1:20" s="312" customFormat="1" ht="13" x14ac:dyDescent="0.3">
      <c r="A32" s="322">
        <v>27</v>
      </c>
      <c r="B32" s="323" t="str">
        <f>bpjs!C35</f>
        <v>197505042010011017</v>
      </c>
      <c r="C32" s="341" t="str">
        <f>bank!C34</f>
        <v>TOTOK SUPRIJADI</v>
      </c>
      <c r="D32" s="325">
        <f t="shared" si="1"/>
        <v>8054508325</v>
      </c>
      <c r="E32" s="325">
        <f t="shared" si="2"/>
        <v>8054508325</v>
      </c>
      <c r="F32" s="325">
        <f t="shared" si="3"/>
        <v>16109016650</v>
      </c>
      <c r="G32" s="326">
        <f>bank!H34</f>
        <v>1610901665</v>
      </c>
      <c r="H32" s="326">
        <f t="shared" ref="H32:L32" si="30">G32</f>
        <v>1610901665</v>
      </c>
      <c r="I32" s="326">
        <f t="shared" si="30"/>
        <v>1610901665</v>
      </c>
      <c r="J32" s="326">
        <f t="shared" si="30"/>
        <v>1610901665</v>
      </c>
      <c r="K32" s="326">
        <f t="shared" si="30"/>
        <v>1610901665</v>
      </c>
      <c r="L32" s="326">
        <f t="shared" si="30"/>
        <v>1610901665</v>
      </c>
      <c r="M32" s="327"/>
      <c r="N32" s="327"/>
      <c r="O32" s="327"/>
      <c r="P32" s="327"/>
      <c r="Q32" s="326">
        <f t="shared" si="5"/>
        <v>6443606660</v>
      </c>
      <c r="R32" s="328" t="s">
        <v>340</v>
      </c>
      <c r="S32" s="324" t="s">
        <v>341</v>
      </c>
      <c r="T32" s="329"/>
    </row>
    <row r="33" spans="1:20" s="312" customFormat="1" ht="13" x14ac:dyDescent="0.3">
      <c r="A33" s="331">
        <v>28</v>
      </c>
      <c r="B33" s="332" t="str">
        <f>bpjs!C36</f>
        <v>198008292009032001</v>
      </c>
      <c r="C33" s="342" t="str">
        <f>bank!C35</f>
        <v>YOPA AGUSTINA</v>
      </c>
      <c r="D33" s="334">
        <f t="shared" si="1"/>
        <v>8050524185</v>
      </c>
      <c r="E33" s="334">
        <f t="shared" si="2"/>
        <v>8050524185</v>
      </c>
      <c r="F33" s="334">
        <f t="shared" si="3"/>
        <v>16101048370</v>
      </c>
      <c r="G33" s="335">
        <f>bank!H35</f>
        <v>1610104837</v>
      </c>
      <c r="H33" s="335">
        <f t="shared" ref="H33:L33" si="31">G33</f>
        <v>1610104837</v>
      </c>
      <c r="I33" s="335">
        <f t="shared" si="31"/>
        <v>1610104837</v>
      </c>
      <c r="J33" s="335">
        <f t="shared" si="31"/>
        <v>1610104837</v>
      </c>
      <c r="K33" s="335">
        <f t="shared" si="31"/>
        <v>1610104837</v>
      </c>
      <c r="L33" s="335">
        <f t="shared" si="31"/>
        <v>1610104837</v>
      </c>
      <c r="M33" s="336"/>
      <c r="N33" s="336"/>
      <c r="O33" s="336"/>
      <c r="P33" s="336"/>
      <c r="Q33" s="335">
        <f t="shared" si="5"/>
        <v>6440419348</v>
      </c>
      <c r="R33" s="337" t="s">
        <v>340</v>
      </c>
      <c r="S33" s="333" t="s">
        <v>341</v>
      </c>
      <c r="T33" s="338"/>
    </row>
    <row r="34" spans="1:20" s="312" customFormat="1" ht="13" x14ac:dyDescent="0.3">
      <c r="A34" s="398" t="s">
        <v>67</v>
      </c>
      <c r="B34" s="399"/>
      <c r="C34" s="400"/>
      <c r="D34" s="339" t="e">
        <f>SUM(D6:D33)</f>
        <v>#VALUE!</v>
      </c>
      <c r="E34" s="339" t="e">
        <f t="shared" ref="E34:Q34" si="32">SUM(E6:E33)</f>
        <v>#VALUE!</v>
      </c>
      <c r="F34" s="339" t="e">
        <f t="shared" si="32"/>
        <v>#VALUE!</v>
      </c>
      <c r="G34" s="339">
        <f t="shared" si="32"/>
        <v>71846209261</v>
      </c>
      <c r="H34" s="339">
        <f t="shared" si="32"/>
        <v>71846209261</v>
      </c>
      <c r="I34" s="339">
        <f t="shared" si="32"/>
        <v>71846209261</v>
      </c>
      <c r="J34" s="339">
        <f t="shared" si="32"/>
        <v>71846209261</v>
      </c>
      <c r="K34" s="339">
        <f t="shared" si="32"/>
        <v>71846209261</v>
      </c>
      <c r="L34" s="339">
        <f t="shared" si="32"/>
        <v>71846209261</v>
      </c>
      <c r="M34" s="339">
        <f t="shared" si="32"/>
        <v>0</v>
      </c>
      <c r="N34" s="339">
        <f t="shared" si="32"/>
        <v>0</v>
      </c>
      <c r="O34" s="339">
        <f t="shared" si="32"/>
        <v>0</v>
      </c>
      <c r="P34" s="339">
        <f t="shared" si="32"/>
        <v>0</v>
      </c>
      <c r="Q34" s="339" t="e">
        <f t="shared" si="32"/>
        <v>#VALUE!</v>
      </c>
      <c r="R34" s="337"/>
      <c r="S34" s="333"/>
      <c r="T34" s="338"/>
    </row>
    <row r="35" spans="1:20" x14ac:dyDescent="0.35">
      <c r="G35" s="313"/>
    </row>
  </sheetData>
  <mergeCells count="12">
    <mergeCell ref="E4:E5"/>
    <mergeCell ref="F4:F5"/>
    <mergeCell ref="A34:C34"/>
    <mergeCell ref="A4:A5"/>
    <mergeCell ref="B4:B5"/>
    <mergeCell ref="C4:C5"/>
    <mergeCell ref="D4:D5"/>
    <mergeCell ref="G4:P4"/>
    <mergeCell ref="Q4:Q5"/>
    <mergeCell ref="R4:R5"/>
    <mergeCell ref="S4:S5"/>
    <mergeCell ref="T4:T5"/>
  </mergeCells>
  <conditionalFormatting sqref="D6:Q34">
    <cfRule type="cellIs" dxfId="32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2026-07-31T01:33:43Z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
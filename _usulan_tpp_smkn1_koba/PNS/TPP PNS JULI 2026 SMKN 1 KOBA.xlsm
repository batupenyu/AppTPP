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NS\"/>
    </mc:Choice>
  </mc:AlternateContent>
  <xr:revisionPtr revIDLastSave="0" documentId="13_ncr:1_{7B6381A0-DEF3-428B-8B6E-5197F27410E6}" xr6:coauthVersionLast="47" xr6:coauthVersionMax="47" xr10:uidLastSave="{00000000-0000-0000-0000-000000000000}"/>
  <bookViews>
    <workbookView xWindow="-110" yWindow="-110" windowWidth="19420" windowHeight="11020" tabRatio="826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'rekap_tpp'!$A$2:$AE$43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H9" i="5" l="1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8" i="5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A20" i="3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G22" i="23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G31" i="23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G6" i="23"/>
  <c r="D13" i="5"/>
  <c r="G11" i="23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20" i="12" l="1"/>
  <c r="AC20" i="12" s="1"/>
  <c r="AH20" i="12" s="1"/>
  <c r="AI20" i="12" s="1"/>
  <c r="AG15" i="12"/>
  <c r="AC15" i="12" s="1"/>
  <c r="AH15" i="12" s="1"/>
  <c r="AI15" i="12" s="1"/>
  <c r="AG16" i="12"/>
  <c r="AC16" i="12" s="1"/>
  <c r="AH16" i="12" s="1"/>
  <c r="AI16" i="12" s="1"/>
  <c r="AG5" i="12"/>
  <c r="AC5" i="12" s="1"/>
  <c r="AH5" i="12" s="1"/>
  <c r="AI5" i="12" s="1"/>
  <c r="AG26" i="12"/>
  <c r="J24" i="5"/>
  <c r="AG12" i="12"/>
  <c r="AC12" i="12" s="1"/>
  <c r="AH12" i="12" s="1"/>
  <c r="AI12" i="12" s="1"/>
  <c r="AG8" i="12"/>
  <c r="AC8" i="12" s="1"/>
  <c r="AH8" i="12" s="1"/>
  <c r="AI8" i="12" s="1"/>
  <c r="AG14" i="12"/>
  <c r="AC14" i="12" s="1"/>
  <c r="AH14" i="12" s="1"/>
  <c r="AI14" i="12" s="1"/>
  <c r="AG17" i="12"/>
  <c r="AC17" i="12" s="1"/>
  <c r="AH17" i="12" s="1"/>
  <c r="AI17" i="12" s="1"/>
  <c r="D28" i="5"/>
  <c r="G26" i="23"/>
  <c r="AC10" i="12"/>
  <c r="AH10" i="12" s="1"/>
  <c r="AI10" i="12" s="1"/>
  <c r="Q2" i="12"/>
  <c r="C32" i="3"/>
  <c r="Q29" i="12" s="1"/>
  <c r="D15" i="5"/>
  <c r="D25" i="5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22" i="23"/>
  <c r="I22" i="23" s="1"/>
  <c r="J22" i="23" s="1"/>
  <c r="K22" i="23" s="1"/>
  <c r="L22" i="23" s="1"/>
  <c r="D22" i="23"/>
  <c r="E22" i="23" s="1"/>
  <c r="F22" i="23" s="1"/>
  <c r="D14" i="5"/>
  <c r="B8" i="12"/>
  <c r="C12" i="23"/>
  <c r="AC21" i="12"/>
  <c r="AH21" i="12" s="1"/>
  <c r="AI21" i="12" s="1"/>
  <c r="AC26" i="12"/>
  <c r="AH26" i="12" s="1"/>
  <c r="AI26" i="12" s="1"/>
  <c r="D12" i="5"/>
  <c r="G10" i="23"/>
  <c r="B19" i="12"/>
  <c r="C23" i="23"/>
  <c r="B10" i="12"/>
  <c r="C14" i="23"/>
  <c r="B4" i="12"/>
  <c r="C8" i="23"/>
  <c r="AG28" i="12"/>
  <c r="AC28" i="12" s="1"/>
  <c r="AH28" i="12" s="1"/>
  <c r="AI28" i="12" s="1"/>
  <c r="D18" i="5"/>
  <c r="AG4" i="12"/>
  <c r="G8" i="23"/>
  <c r="D10" i="5"/>
  <c r="AG22" i="12"/>
  <c r="AC22" i="12" s="1"/>
  <c r="AH22" i="12" s="1"/>
  <c r="AI22" i="12" s="1"/>
  <c r="G24" i="23"/>
  <c r="D26" i="5"/>
  <c r="B12" i="12"/>
  <c r="C16" i="23"/>
  <c r="B17" i="12"/>
  <c r="C21" i="23"/>
  <c r="D29" i="5"/>
  <c r="G27" i="23"/>
  <c r="D22" i="5"/>
  <c r="AG7" i="12"/>
  <c r="AC7" i="12" s="1"/>
  <c r="AH7" i="12" s="1"/>
  <c r="AI7" i="12" s="1"/>
  <c r="S2" i="12"/>
  <c r="E32" i="3"/>
  <c r="S29" i="12" s="1"/>
  <c r="AG27" i="12"/>
  <c r="G7" i="23"/>
  <c r="D9" i="5"/>
  <c r="C9" i="5"/>
  <c r="D21" i="5"/>
  <c r="B6" i="12"/>
  <c r="C10" i="23"/>
  <c r="G25" i="23"/>
  <c r="D27" i="5"/>
  <c r="B28" i="12"/>
  <c r="C32" i="23"/>
  <c r="D31" i="5"/>
  <c r="G29" i="23"/>
  <c r="D30" i="5"/>
  <c r="G28" i="23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D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B11" i="12"/>
  <c r="C15" i="23"/>
  <c r="B13" i="12"/>
  <c r="C17" i="23"/>
  <c r="J33" i="5"/>
  <c r="G30" i="23"/>
  <c r="D32" i="5"/>
  <c r="D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G15" i="23"/>
  <c r="D11" i="5"/>
  <c r="G9" i="23"/>
  <c r="D16" i="5"/>
  <c r="C29" i="5"/>
  <c r="C32" i="5"/>
  <c r="C30" i="5"/>
  <c r="C28" i="5"/>
  <c r="J26" i="5"/>
  <c r="C26" i="5"/>
  <c r="C27" i="5"/>
  <c r="C31" i="5"/>
  <c r="J29" i="5" l="1"/>
  <c r="J30" i="5"/>
  <c r="Q31" i="23"/>
  <c r="J17" i="5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 s="1"/>
  <c r="AC24" i="12"/>
  <c r="AH24" i="12" s="1"/>
  <c r="AI24" i="12" s="1"/>
  <c r="G13" i="23"/>
  <c r="J15" i="5"/>
  <c r="H35" i="5"/>
  <c r="Q27" i="23" l="1"/>
  <c r="Q28" i="23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Q6" i="23" l="1"/>
  <c r="Q33" i="23" s="1"/>
  <c r="N9" i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<sst xmlns="http://schemas.openxmlformats.org/spreadsheetml/2006/main" count="1056" uniqueCount="553">
  <si>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</si>
  <si>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</si>
  <si>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</si>
  <si>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</si>
  <si>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</si>
  <si>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</si>
  <si>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</si>
  <si>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</si>
  <si>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</si>
  <si>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</si>
  <si>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</si>
  <si>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</si>
  <si>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</si>
  <si>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</si>
  <si>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</si>
  <si>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</si>
  <si>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</si>
  <si>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</si>
  <si>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</si>
  <si>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</si>
  <si>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</si>
  <si>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</si>
  <si>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</si>
  <si>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</si>
  <si>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</si>
  <si>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</si>
  <si>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</si>
  <si>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</si>
  <si>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</si>
  <si>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</si>
  <si>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</si>
  <si>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</si>
  <si>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</si>
  <si>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</si>
  <si>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</si>
  <si>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</si>
  <si>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</si>
  <si>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</si>
  <si>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</si>
  <si>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</si>
  <si>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</si>
  <si>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</si>
  <si>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</si>
  <si>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</si>
  <si>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</si>
  <si>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</si>
  <si>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</si>
  <si>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</si>
  <si>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</si>
  <si>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</si>
  <si>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</si>
  <si>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</si>
  <si>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</si>
  <si>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</si>
  <si>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</si>
  <si>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</si>
  <si>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</si>
  <si>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</si>
  <si>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</si>
  <si>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</si>
  <si>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</si>
  <si>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</si>
  <si>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</si>
  <si>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</si>
  <si>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</si>
  <si>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</si>
  <si>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</si>
  <si>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</si>
  <si>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</si>
  <si>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</si>
  <si>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</si>
  <si>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</si>
  <si>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</si>
  <si>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</si>
  <si>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</si>
  <si>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</si>
  <si>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</si>
  <si>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</si>
  <si>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</si>
  <si>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</si>
  <si>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</si>
  <si>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</si>
  <si>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</si>
  <si>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</si>
  <si>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</si>
  <si>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</si>
  <si>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</si>
  <si>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</si>
  <si>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</si>
  <si>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</si>
  <si>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</si>
  <si>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</si>
  <si>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</si>
  <si>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</si>
  <si>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</si>
  <si>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</si>
  <si>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</si>
  <si>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</si>
  <si>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</si>
  <si>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</si>
  <si>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</si>
  <si>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</si>
  <si>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</si>
  <si>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</si>
  <si>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</si>
  <si>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</si>
  <si>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</si>
  <si>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</si>
  <si>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</si>
  <si>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</si>
  <si>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</si>
  <si>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</si>
  <si>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</si>
  <si>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</si>
  <si>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</si>
  <si>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</si>
  <si>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</si>
  <si>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</si>
  <si>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</si>
  <si>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</si>
  <si>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</si>
  <si>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</si>
  <si>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</si>
  <si>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</si>
  <si>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</si>
  <si>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</si>
  <si>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</si>
  <si>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</si>
  <si>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</si>
  <si>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</si>
  <si>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</si>
  <si>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</si>
  <si>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</si>
  <si>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</si>
  <si>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</si>
  <si>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</si>
  <si>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</si>
  <si>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</si>
  <si>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</si>
  <si>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</si>
  <si>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</si>
  <si>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</si>
  <si>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</si>
  <si>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</si>
  <si>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</si>
  <si>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</si>
  <si>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</si>
  <si>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</si>
  <si>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</si>
  <si>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</si>
  <si>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</si>
  <si>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</si>
  <si>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</si>
  <si>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</si>
  <si>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</si>
  <si>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</si>
  <si>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</si>
  <si>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</si>
  <si>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</si>
  <si>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</si>
  <si>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</si>
  <si>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</si>
  <si>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</si>
  <si>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</si>
  <si>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</si>
  <si>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</si>
  <si>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</si>
  <si>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</si>
  <si>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</si>
  <si>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</si>
  <si>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</si>
  <si>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</si>
  <si>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</si>
  <si>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</si>
  <si>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</si>
  <si>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</si>
  <si>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</si>
  <si>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</si>
  <si>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</si>
  <si>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</si>
  <si>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</si>
  <si>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</si>
  <si>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</si>
  <si>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</si>
  <si>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</si>
  <si>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</si>
  <si>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</si>
  <si>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</si>
  <si>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</si>
  <si>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</si>
  <si>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</si>
  <si>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</si>
  <si>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</si>
  <si>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</si>
  <si>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</si>
  <si>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</si>
  <si>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</si>
  <si>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</si>
  <si>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</si>
  <si>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</si>
  <si>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</si>
  <si>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</si>
  <si>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</si>
  <si>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</si>
  <si>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</si>
  <si>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</si>
  <si>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</si>
  <si>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</si>
  <si>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</si>
  <si>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</si>
  <si>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</si>
  <si>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</si>
  <si>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</si>
  <si>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</si>
  <si>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</si>
  <si>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</si>
  <si>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</si>
  <si>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</si>
  <si>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</si>
  <si>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</si>
  <si>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</si>
  <si>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</si>
  <si>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</si>
  <si>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</si>
  <si>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</si>
  <si>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</si>
  <si>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</si>
  <si>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</si>
  <si>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</si>
  <si>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</si>
  <si>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</si>
  <si>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</si>
  <si>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</si>
  <si>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</si>
  <si>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</si>
  <si>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</si>
  <si>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</si>
  <si>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</si>
  <si>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</si>
  <si>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</si>
  <si>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</si>
  <si>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</si>
  <si>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</si>
  <si>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</si>
  <si>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</si>
  <si>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</si>
  <si>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</si>
  <si>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</si>
  <si>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</si>
  <si>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</si>
  <si>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</si>
  <si>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</si>
  <si>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</si>
  <si>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</si>
  <si>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</si>
  <si>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</si>
  <si>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</si>
  <si>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</si>
  <si>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</si>
  <si>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</si>
  <si>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</si>
  <si>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</si>
  <si>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</si>
  <si>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</si>
  <si>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</si>
  <si>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</si>
  <si>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</si>
  <si>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</si>
  <si>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</si>
  <si>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</si>
  <si>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</si>
  <si>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</si>
  <si>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</si>
  <si>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</si>
  <si>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</si>
  <si>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</si>
  <si>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</si>
  <si>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</si>
  <si>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</si>
  <si>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</si>
  <si>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</si>
  <si>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</si>
  <si>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</si>
  <si>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</si>
  <si>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</si>
  <si>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</si>
  <si>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</si>
  <si>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</si>
  <si>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</si>
  <si>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</si>
  <si>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</si>
  <si>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</si>
  <si>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</si>
  <si>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</si>
  <si>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</si>
  <si>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</si>
  <si>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</si>
  <si>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</si>
  <si>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</si>
  <si>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</si>
  <si>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</si>
  <si>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</si>
  <si>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</si>
  <si>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</si>
  <si>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</si>
  <si>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</si>
  <si>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</si>
  <si>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</si>
  <si>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</si>
  <si>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</si>
  <si>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</si>
  <si>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</si>
  <si>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</si>
  <si>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</si>
  <si>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</si>
  <si>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</si>
  <si>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</si>
  <si>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</si>
  <si>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</si>
  <si>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</si>
  <si>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</si>
  <si>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</si>
  <si>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</si>
  <si>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</si>
  <si>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</si>
  <si>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</si>
  <si>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</si>
  <si>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</si>
  <si>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</si>
  <si>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</si>
  <si>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</si>
  <si>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</si>
  <si>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</si>
  <si>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</si>
  <si>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</si>
  <si>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</si>
  <si>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</si>
  <si>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</si>
  <si>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</si>
  <si>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</si>
  <si>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</si>
  <si>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</si>
  <si>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</si>
  <si>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</si>
  <si>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</si>
  <si>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</si>
  <si>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</si>
  <si>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</si>
  <si>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</si>
  <si>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</si>
  <si>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</si>
  <si>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</si>
  <si>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</si>
  <si>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</si>
  <si>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</si>
  <si>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</si>
  <si>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</si>
  <si>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</si>
  <si>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</si>
  <si>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</si>
  <si>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</si>
  <si>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</si>
  <si>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</si>
  <si>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</si>
  <si>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</si>
  <si>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</si>
  <si>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</si>
  <si>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</si>
  <si>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</si>
  <si>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</si>
  <si>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</si>
  <si>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</si>
  <si>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</si>
  <si>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</si>
  <si>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</si>
  <si>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</si>
  <si>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</si>
  <si>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</si>
  <si>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</si>
  <si>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</si>
  <si>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</si>
  <si>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</si>
  <si>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</si>
  <si>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</si>
  <si>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</si>
  <si>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</si>
  <si>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</si>
  <si>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</si>
  <si>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</si>
  <si>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</si>
  <si>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</si>
  <si>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</si>
  <si>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</si>
  <si>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</si>
  <si>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</si>
  <si>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</si>
  <si>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</si>
  <si>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</si>
  <si>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</si>
  <si>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</si>
  <si>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</si>
  <si>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</si>
  <si>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</si>
  <si>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</si>
  <si>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</si>
  <si>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</si>
  <si>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</si>
  <si>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</si>
  <si>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</si>
  <si>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</si>
  <si>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</si>
  <si>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</si>
  <si>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</si>
  <si>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</si>
  <si>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</si>
  <si>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</si>
  <si>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</si>
  <si>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</si>
  <si>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</si>
  <si>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</si>
  <si>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</si>
  <si>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</si>
  <si>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</si>
  <si>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</si>
  <si>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</si>
  <si>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</si>
  <si>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</si>
  <si>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</si>
  <si>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</si>
  <si>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</si>
  <si>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</si>
  <si>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</si>
  <si>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</si>
  <si>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</si>
  <si>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</si>
  <si>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</si>
  <si>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</si>
  <si>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</si>
  <si>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</si>
  <si>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</si>
  <si>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</si>
  <si>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</si>
  <si>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</si>
  <si>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</si>
  <si>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</si>
  <si>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</si>
  <si>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</si>
  <si>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</si>
  <si>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</si>
  <si>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</si>
  <si>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</si>
  <si>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</si>
  <si>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</si>
  <si>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</si>
  <si>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</si>
  <si>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</si>
  <si>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</si>
  <si>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</si>
  <si>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</si>
  <si>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</si>
  <si>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</si>
  <si>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</si>
  <si>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</si>
  <si>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</si>
  <si>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</si>
  <si>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</si>
  <si>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</si>
  <si>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</si>
  <si>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</si>
  <si>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</si>
  <si>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</si>
  <si>
    <t>05-04-1972</t>
  </si>
  <si>
    <t>01610102532</t>
  </si>
  <si>
    <t>14-09-1986</t>
  </si>
  <si>
    <t>016109001439</t>
  </si>
  <si>
    <t>10-04-1967</t>
  </si>
  <si>
    <t>1610800075</t>
  </si>
  <si>
    <t>17-07-1999</t>
  </si>
  <si>
    <t>1440966672</t>
  </si>
  <si>
    <t>22-01-1990</t>
  </si>
  <si>
    <t>015509001575</t>
  </si>
  <si>
    <t>24-04-1993</t>
  </si>
  <si>
    <t>16109012254</t>
  </si>
  <si>
    <t>01-02-1986</t>
  </si>
  <si>
    <t>016109012278</t>
  </si>
  <si>
    <t>15-03-1981</t>
  </si>
  <si>
    <t>01610105556</t>
  </si>
  <si>
    <t>30-09-1988</t>
  </si>
  <si>
    <t>01610107829</t>
  </si>
  <si>
    <t>15-10-1984</t>
  </si>
  <si>
    <t>016109012398</t>
  </si>
  <si>
    <t>28-12-1986</t>
  </si>
  <si>
    <t>016109012246</t>
  </si>
  <si>
    <t>01-09-1981</t>
  </si>
  <si>
    <t>01610106580</t>
  </si>
  <si>
    <t>18-06-1974</t>
  </si>
  <si>
    <t>01440105481</t>
  </si>
  <si>
    <t>25-08-1981</t>
  </si>
  <si>
    <t>01460107125</t>
  </si>
  <si>
    <t>01-07-1989</t>
  </si>
  <si>
    <t>16109000456</t>
  </si>
  <si>
    <t>18-08-1981</t>
  </si>
  <si>
    <t>01900900969</t>
  </si>
  <si>
    <t>29-09-1989</t>
  </si>
  <si>
    <t>1610906064</t>
  </si>
  <si>
    <t>30-06-1995</t>
  </si>
  <si>
    <t>16109000347</t>
  </si>
  <si>
    <t>26-04-1982</t>
  </si>
  <si>
    <t>01610901678</t>
  </si>
  <si>
    <t>30-04-1989</t>
  </si>
  <si>
    <t>01610904070</t>
  </si>
  <si>
    <t>27-06-1986</t>
  </si>
  <si>
    <t>1820903520</t>
  </si>
  <si>
    <t>27-03-1982</t>
  </si>
  <si>
    <t>01610105795</t>
  </si>
  <si>
    <t>21-07-1968</t>
  </si>
  <si>
    <t>01610101008</t>
  </si>
  <si>
    <t>19-03-1988</t>
  </si>
  <si>
    <t>01610905245</t>
  </si>
  <si>
    <t>27-02-1985</t>
  </si>
  <si>
    <t>01610104975</t>
  </si>
  <si>
    <t>06-07-1979</t>
  </si>
  <si>
    <t>01610103820</t>
  </si>
  <si>
    <t>07-05-1976</t>
  </si>
  <si>
    <t>1610907514</t>
  </si>
  <si>
    <t>12-11-1999</t>
  </si>
  <si>
    <t>1440966655</t>
  </si>
  <si>
    <t>13-11-1986</t>
  </si>
  <si>
    <t>01610904107</t>
  </si>
  <si>
    <t>19-02-1979</t>
  </si>
  <si>
    <t>01610100879</t>
  </si>
  <si>
    <t>02-05-1990</t>
  </si>
  <si>
    <t>1610108232</t>
  </si>
  <si>
    <t>18-07-1992</t>
  </si>
  <si>
    <t>16109012260</t>
  </si>
  <si>
    <t>31-08-1976</t>
  </si>
  <si>
    <t>01610104362</t>
  </si>
  <si>
    <t>23-12-1994</t>
  </si>
  <si>
    <t>1610906183</t>
  </si>
  <si>
    <t>08-04-1999</t>
  </si>
  <si>
    <t>1440966659</t>
  </si>
  <si>
    <t>10-12-1981</t>
  </si>
  <si>
    <t>01610104840</t>
  </si>
  <si>
    <t>10-08-1991</t>
  </si>
  <si>
    <t>1440924881</t>
  </si>
  <si>
    <t>26-08-1977</t>
  </si>
  <si>
    <t>01610102485</t>
  </si>
  <si>
    <t>03-09-1970</t>
  </si>
  <si>
    <t>01610100141</t>
  </si>
  <si>
    <t>04-05-1975</t>
  </si>
  <si>
    <t>01610901665</t>
  </si>
  <si>
    <t>29-08-1980</t>
  </si>
  <si>
    <t>01610104837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</si>
</sst>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2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1" dataDxfId="69" headerRowBorderDxfId="70" tableBorderDxfId="68" totalsRowBorderDxfId="67" headerRowCellStyle="Normal 2">
  <autoFilter ref="A1:AI29" xr:uid="{660DE927-A23F-407B-8C78-16E86E3C0D46}"/>
  <tableColumns count="35">
    <tableColumn id="1" xr3:uid="{DBB5E4B7-54E9-48A1-AEFD-1029699C2D6C}" name="NIP Pegawai" dataDxfId="66" dataCellStyle="Normal 2"/>
    <tableColumn id="2" xr3:uid="{3CAEA4FA-D0BE-4DDF-96FC-0E2EB5AF3937}" name="Nama Pegawai" dataDxfId="65" dataCellStyle="Normal 23"/>
    <tableColumn id="3" xr3:uid="{A0CBDE30-F89E-40E3-8FBE-AA1C7F816282}" name="NIK Pegawai" dataDxfId="64" dataCellStyle="Normal 2"/>
    <tableColumn id="4" xr3:uid="{C0CCF364-75E2-4A28-B180-3EEB639B0E5E}" name="NPWP Pegawai" dataDxfId="63" dataCellStyle="Normal 23"/>
    <tableColumn id="5" xr3:uid="{B7AF6DA4-9DCB-4604-93D6-2AED6FE13720}" name="Tanggal Lahir Pegawai" dataDxfId="62" dataCellStyle="Normal 23"/>
    <tableColumn id="6" xr3:uid="{18A7DCA9-7A05-4E90-9C35-D94440C287CE}" name="Tipe Jabatan" dataDxfId="61" dataCellStyle="Normal 2"/>
    <tableColumn id="7" xr3:uid="{2B679A94-FB25-4464-A936-058E6091C0AF}" name="Nama Jabatan" dataDxfId="60" dataCellStyle="Normal 23"/>
    <tableColumn id="8" xr3:uid="{14F3EE6B-9140-436E-BD39-0D0CEB36AD5C}" name="Eselon" dataDxfId="59" dataCellStyle="Normal 23"/>
    <tableColumn id="9" xr3:uid="{8F536BF6-A2EB-4343-85FB-E4A6C9AB5866}" name="Status ASN" dataDxfId="58" dataCellStyle="Normal 2"/>
    <tableColumn id="10" xr3:uid="{5E4E1648-8AF6-4722-8B37-06142BBC9F24}" name="golongan" dataDxfId="57" dataCellStyle="Normal 23"/>
    <tableColumn id="11" xr3:uid="{E38E6D1F-1D08-453F-9C29-63AE72701C6E}" name="Masa Kerja Golongan" dataDxfId="56" dataCellStyle="Normal 23"/>
    <tableColumn id="12" xr3:uid="{3D61C978-AEE3-4623-B16A-EED9162A6AB5}" name="Column1" dataDxfId="55" dataCellStyle="Normal 2"/>
    <tableColumn id="13" xr3:uid="{DD66F396-B3F7-4296-A8A7-E6B2F186DB01}" name="Alamat" dataDxfId="54" dataCellStyle="Normal 23"/>
    <tableColumn id="14" xr3:uid="{7B9BAA1C-176E-4301-8C04-67D4ABE98FD2}" name="Kode Bank" dataDxfId="53" dataCellStyle="Normal 2"/>
    <tableColumn id="15" xr3:uid="{0A89E6E2-759A-4F27-820B-F6FEE37A3BB2}" name="Nama Bank" dataDxfId="52" dataCellStyle="Normal 2"/>
    <tableColumn id="16" xr3:uid="{87C11C65-1A47-47F8-8BC4-EEA348959EBB}" name="Nomor Rekening Bank Pegawai" dataDxfId="51" dataCellStyle="Normal 23"/>
    <tableColumn id="17" xr3:uid="{CFBC335F-FC46-40D0-9029-6C18126ADED2}" name="BEBAN KERJA (O)" dataDxfId="50" dataCellStyle="Comma 2">
      <calculatedColumnFormula>'rekap nominatif etukin'!C5</calculatedColumnFormula>
    </tableColumn>
    <tableColumn id="18" xr3:uid="{03656CC5-C35D-4FAC-B273-69DC66696822}" name="PRESTASI KERJA (S)" dataDxfId="49" dataCellStyle="Comma 2">
      <calculatedColumnFormula>'rekap nominatif etukin'!D5</calculatedColumnFormula>
    </tableColumn>
    <tableColumn id="19" xr3:uid="{E9F7C0D5-93BF-4770-BA7D-9235C207CE61}" name="KONDISI KERJA (Q)" dataDxfId="48" dataCellStyle="Comma 2">
      <calculatedColumnFormula>'rekap nominatif etukin'!E5</calculatedColumnFormula>
    </tableColumn>
    <tableColumn id="20" xr3:uid="{BE603BE6-972D-45AC-AB3B-58EC475F8F12}" name="TEMPAT BERTUGAS (P)" dataDxfId="47" dataCellStyle="Comma 2">
      <calculatedColumnFormula>'rekap nominatif etukin'!F5</calculatedColumnFormula>
    </tableColumn>
    <tableColumn id="21" xr3:uid="{4EB5F81B-BE30-4379-B0F8-8E8CB7338728}" name="KELANGKAAN PROFESI (R)" dataDxfId="46" dataCellStyle="Comma 2">
      <calculatedColumnFormula>'rekap nominatif etukin'!G5</calculatedColumnFormula>
    </tableColumn>
    <tableColumn id="22" xr3:uid="{A97034CA-87F6-48C1-A7BF-AD06540513BE}" name="Tunjangan PPh" dataDxfId="45" dataCellStyle="Comma [0] 2"/>
    <tableColumn id="23" xr3:uid="{5AF1D5B8-6B8B-41EE-9C3C-CE0BDEF781AB}" name="Iuran Jaminan Kesehatan" dataDxfId="44" dataCellStyle="Comma [0] 2"/>
    <tableColumn id="24" xr3:uid="{F9464064-D550-4015-88C9-735267A9B6AD}" name="Iuran Jaminan Kecelakaan Kerja" dataDxfId="43" dataCellStyle="Comma [0] 2"/>
    <tableColumn id="25" xr3:uid="{17DF246B-C73C-4BE9-BC87-26A7B2C02914}" name="Iuran Jaminan Kematian" dataDxfId="42" dataCellStyle="Comma [0] 2"/>
    <tableColumn id="26" xr3:uid="{2C751537-25EE-4396-BC49-06E60463E282}" name="Iuran Simpanan Tapera" dataDxfId="41" dataCellStyle="Comma [0] 2"/>
    <tableColumn id="27" xr3:uid="{8AD72670-BF32-48DF-AF28-6EBE450E333C}" name="Iuran Pensiun" dataDxfId="40" dataCellStyle="Comma [0] 2"/>
    <tableColumn id="28" xr3:uid="{C243941C-FCAA-481E-BE34-E4BB80AAAAE2}" name="Tunjangan Jaminan Hari Tua" dataDxfId="39" dataCellStyle="Normal 2"/>
    <tableColumn id="29" xr3:uid="{131A6030-F996-4734-A3D8-6D1A4CEC92D7}" name="Potongan IWP" dataDxfId="38" dataCellStyle="Comma 2"/>
    <tableColumn id="30" xr3:uid="{72311421-53F9-4DC6-9D2D-AED10D9DAC2F}" name="Potongan PPh 21" dataDxfId="37" dataCellStyle="Normal 2"/>
    <tableColumn id="31" xr3:uid="{D98DA28E-88D1-4D93-AE16-7C54788A2552}" name="Zakat" dataDxfId="36" dataCellStyle="Comma [0] 2"/>
    <tableColumn id="32" xr3:uid="{7A9FEA4C-D5DD-4FAF-8A00-E592488C6DD3}" name="Bulog" dataDxfId="35" dataCellStyle="Comma [0] 2"/>
    <tableColumn id="33" xr3:uid="{8F776B3B-B183-4FCE-B3E6-3068556FA7F1}" name="Jumlah TPP" dataDxfId="34" dataCellStyle="Comma 2">
      <calculatedColumnFormula>Q2+R2</calculatedColumnFormula>
    </tableColumn>
    <tableColumn id="34" xr3:uid="{6C931F56-42BE-48E7-908D-686C74759FFA}" name="Jumlah Potongan" dataDxfId="33" dataCellStyle="Comma 2"/>
    <tableColumn id="35" xr3:uid="{9161A53A-893F-4B3A-B35C-7C20F6DA5932}" name="Jumlah Ditransfer" dataDxfId="32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E43" tableType="queryTable" totalsRowShown="0">
  <autoFilter ref="A2:AE43" xr:uid="{67716BFE-D324-48FB-BEAF-10D8970D6FE3}"/>
  <tableColumns count="31">
    <tableColumn id="1" xr3:uid="{BD593774-DBE9-462F-A3C6-69E0CEA432E3}" uniqueName="1" name="NAMA PEGAWAI" queryTableFieldId="1" dataDxfId="30"/>
    <tableColumn id="2" xr3:uid="{C587DD1D-8705-4E7D-8211-1771D9CE2F38}" uniqueName="2" name="GOL_X" queryTableFieldId="2" dataDxfId="29"/>
    <tableColumn id="3" xr3:uid="{A64B534A-CC0C-4430-8458-1A901FE01618}" uniqueName="3" name="JABATAN/ESELON" queryTableFieldId="3" dataDxfId="28"/>
    <tableColumn id="4" xr3:uid="{82A06F77-FD92-4564-A0E9-7E2A9EB31F00}" uniqueName="4" name="KELAS JABATAN" queryTableFieldId="4" dataDxfId="27"/>
    <tableColumn id="5" xr3:uid="{508C80CF-215C-4BE6-9B44-78847843DE8A}" uniqueName="5" name="BESARAN TPP (RP)" queryTableFieldId="5" dataDxfId="26"/>
    <tableColumn id="6" xr3:uid="{A9BF58C7-CD28-4D94-810D-DD7450D9A482}" uniqueName="6" name="POTONGAN" queryTableFieldId="6" dataDxfId="25"/>
    <tableColumn id="7" xr3:uid="{E7659A9F-D5A3-499C-8EED-04CE4155581F}" uniqueName="7" name="JLH KOTOR" queryTableFieldId="7" dataDxfId="24"/>
    <tableColumn id="8" xr3:uid="{CECCB7B7-5A03-4CCB-B0FC-BE86DDAD655F}" uniqueName="8" name="NIP" queryTableFieldId="8" dataDxfId="23"/>
    <tableColumn id="9" xr3:uid="{924B9411-5F73-465B-832E-B629B2EAEF02}" uniqueName="9" name="TGL_LAHIR" queryTableFieldId="9" dataDxfId="22"/>
    <tableColumn id="10" xr3:uid="{FEE9BF86-5EC7-4D78-B0C0-07A88F955FFF}" uniqueName="10" name="NPWP" queryTableFieldId="10" dataDxfId="21"/>
    <tableColumn id="11" xr3:uid="{42ABBCEB-5461-4734-A879-C00182EED12A}" uniqueName="11" name="NO_REKENING" queryTableFieldId="11" dataDxfId="20"/>
    <tableColumn id="12" xr3:uid="{9F6F8E94-B8F0-4827-B86A-EE739B458DD6}" uniqueName="12" name="UNIT_KERJA" queryTableFieldId="12" dataDxfId="19"/>
    <tableColumn id="13" xr3:uid="{5DFFDD98-E9D8-42AE-BB9F-FC24F82E2C7A}" uniqueName="13" name="GAJI_NET" queryTableFieldId="13" dataDxfId="18"/>
    <tableColumn id="14" xr3:uid="{BEA0E7E6-A8EB-4872-8197-E5B5EF21F721}" uniqueName="14" name="JUMLAH_ANAK" queryTableFieldId="14" dataDxfId="17"/>
    <tableColumn id="15" xr3:uid="{E87A4625-A848-4A8F-A2DF-B01786AC4E9B}" uniqueName="15" name="BEBAN_KERJA" queryTableFieldId="15" dataDxfId="16"/>
    <tableColumn id="16" xr3:uid="{E41B2A06-AB5C-4E1B-9099-11BF5A0ABFEB}" uniqueName="16" name="TEMPAT_BERTUGAS" queryTableFieldId="16" dataDxfId="15"/>
    <tableColumn id="31" xr3:uid="{D9AA60BD-C8CF-4C4E-8B2E-6748D0B4DF8D}" uniqueName="31" name="KONDISI_KERJA" queryTableFieldId="31" dataDxfId="14"/>
    <tableColumn id="17" xr3:uid="{AD9E7808-EB00-4A6A-BA6D-8AB4D748D96C}" uniqueName="17" name="PRESTASI_KERJA" queryTableFieldId="17" dataDxfId="13"/>
    <tableColumn id="32" xr3:uid="{3CD6730F-6EB0-41C1-B4F6-5799EF1327FD}" uniqueName="32" name="KELANGKAAN_PROFESI" queryTableFieldId="32" dataDxfId="12"/>
    <tableColumn id="18" xr3:uid="{DA616222-5705-44B1-9386-71F70187C6AD}" uniqueName="18" name="NIK PEGAWAI" queryTableFieldId="18" dataDxfId="11"/>
    <tableColumn id="19" xr3:uid="{4039FB30-EE7E-47BE-9A5D-12EB8EA4FCDF}" uniqueName="19" name="TIPE JABATAN" queryTableFieldId="19" dataDxfId="10"/>
    <tableColumn id="20" xr3:uid="{71EBC85A-3B7A-4FA2-9447-53FDDC3AF0FE}" uniqueName="20" name="STATUS ASN" queryTableFieldId="20" dataDxfId="9"/>
    <tableColumn id="22" xr3:uid="{1248B4AC-D290-4E55-955E-C2004CCF1995}" uniqueName="22" name="MASA KERJA GOLONGAN" queryTableFieldId="22" dataDxfId="8"/>
    <tableColumn id="23" xr3:uid="{A7E133BC-686D-4321-BBF1-0A6784586F15}" uniqueName="23" name="ALAMAT" queryTableFieldId="23" dataDxfId="7"/>
    <tableColumn id="24" xr3:uid="{C78DCB04-6C63-4614-9EC6-0422FB589EB5}" uniqueName="24" name="STATUS PERNIKAHAN" queryTableFieldId="24" dataDxfId="6"/>
    <tableColumn id="25" xr3:uid="{C901433F-768F-411D-B85D-26D76F250BF6}" uniqueName="25" name="JUMLAH ISTRI_SUAMI" queryTableFieldId="25" dataDxfId="5"/>
    <tableColumn id="26" xr3:uid="{6494843B-1DE1-4B69-819E-E902C8841452}" uniqueName="26" name="JUMLAH ANAK" queryTableFieldId="26" dataDxfId="4"/>
    <tableColumn id="27" xr3:uid="{45407801-EE7E-4965-99F1-FBF9A35CC16D}" uniqueName="27" name="NAMA BANK" queryTableFieldId="27" dataDxfId="3"/>
    <tableColumn id="28" xr3:uid="{BE3FD433-F330-4416-A511-BDCEDD18EF09}" uniqueName="28" name="NOMOR REKENING BANK PEGAWAI" queryTableFieldId="28" dataDxfId="2"/>
    <tableColumn id="29" xr3:uid="{0E192986-1F3F-426A-AA66-5D65F2BDDA48}" uniqueName="29" name="UNIT KERJA" queryTableFieldId="29" dataDxfId="1"/>
    <tableColumn id="30" xr3:uid="{B81CD542-90BA-4BEF-A222-AD75559E27CE}" uniqueName="30" name="JANUARI" queryTableFieldId="3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tabSelected="1" zoomScale="55" zoomScaleNormal="55" zoomScaleSheetLayoutView="55" workbookViewId="0">
      <selection activeCell="D9" sqref="D9:D3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2" t="s">
        <v>1</v>
      </c>
      <c r="B2" s="342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2" t="s">
        <v>2</v>
      </c>
      <c r="B3" s="342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2" t="s">
        <v>3</v>
      </c>
      <c r="B4" s="342"/>
      <c r="C4" s="190">
        <v>46204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3" t="s">
        <v>4</v>
      </c>
      <c r="B6" s="345" t="s">
        <v>5</v>
      </c>
      <c r="C6" s="345" t="s">
        <v>6</v>
      </c>
      <c r="D6" s="346" t="s">
        <v>7</v>
      </c>
      <c r="E6" s="346" t="s">
        <v>8</v>
      </c>
      <c r="F6" s="345" t="s">
        <v>9</v>
      </c>
      <c r="G6" s="343" t="s">
        <v>10</v>
      </c>
      <c r="H6" s="352" t="s">
        <v>11</v>
      </c>
      <c r="I6" s="347" t="s">
        <v>12</v>
      </c>
      <c r="J6" s="354" t="s">
        <v>13</v>
      </c>
      <c r="K6" s="347" t="s">
        <v>14</v>
      </c>
      <c r="L6" s="349" t="s">
        <v>15</v>
      </c>
      <c r="M6" s="350"/>
      <c r="N6" s="347" t="s">
        <v>16</v>
      </c>
      <c r="O6" s="347" t="s">
        <v>17</v>
      </c>
      <c r="P6" s="347" t="s">
        <v>18</v>
      </c>
      <c r="Q6" s="345" t="s">
        <v>19</v>
      </c>
      <c r="R6" s="347" t="s">
        <v>20</v>
      </c>
      <c r="S6" s="356" t="s">
        <v>21</v>
      </c>
    </row>
    <row r="7" spans="1:19" ht="14.25" customHeight="1" x14ac:dyDescent="0.35">
      <c r="A7" s="344"/>
      <c r="B7" s="344"/>
      <c r="C7" s="344"/>
      <c r="D7" s="351"/>
      <c r="E7" s="344"/>
      <c r="F7" s="344"/>
      <c r="G7" s="344"/>
      <c r="H7" s="353"/>
      <c r="I7" s="348"/>
      <c r="J7" s="355"/>
      <c r="K7" s="348"/>
      <c r="L7" s="147">
        <v>0.04</v>
      </c>
      <c r="M7" s="148">
        <v>0.01</v>
      </c>
      <c r="N7" s="344"/>
      <c r="O7" s="344"/>
      <c r="P7" s="344"/>
      <c r="Q7" s="344"/>
      <c r="R7" s="344"/>
      <c r="S7" s="357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 t="str">
        <f>IFERROR(INDEX(rekap_tpp[], MATCH(MID(B9, FIND("NIP.", B9) + 4, LEN(B9)), INDEX(rekap_tpp[], 0, 8), 0), 20), "NIP tidak ditemukan")</f>
        <v>1904010504720002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 t="str">
        <f>IFERROR(INDEX(rekap_tpp[], MATCH(MID(B10, FIND("NIP.", B10) + 4, LEN(B10)), INDEX(rekap_tpp[], 0, 8), 0), 20), "NIP tidak ditemukan")</f>
        <v>1904011409860001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 t="str">
        <f>IFERROR(INDEX(rekap_tpp[], MATCH(MID(B11, FIND("NIP.", B11) + 4, LEN(B11)), INDEX(rekap_tpp[], 0, 8), 0), 20), "NIP tidak ditemukan")</f>
        <v>1371066201900003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 t="str">
        <f>IFERROR(INDEX(rekap_tpp[], MATCH(MID(B12, FIND("NIP.", B12) + 4, LEN(B12)), INDEX(rekap_tpp[], 0, 8), 0), 20), "NIP tidak ditemukan")</f>
        <v>3278010102860008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 t="str">
        <f>IFERROR(INDEX(rekap_tpp[], MATCH(MID(B13, FIND("NIP.", B13) + 4, LEN(B13)), INDEX(rekap_tpp[], 0, 8), 0), 20), "NIP tidak ditemukan")</f>
        <v>1901025503810001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 t="str">
        <f>IFERROR(INDEX(rekap_tpp[], MATCH(MID(B14, FIND("NIP.", B14) + 4, LEN(B14)), INDEX(rekap_tpp[], 0, 8), 0), 20), "NIP tidak ditemukan")</f>
        <v>1671043009880003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 t="str">
        <f>IFERROR(INDEX(rekap_tpp[], MATCH(MID(B15, FIND("NIP.", B15) + 4, LEN(B15)), INDEX(rekap_tpp[], 0, 8), 0), 20), "NIP tidak ditemukan")</f>
        <v>1971031510840002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 t="str">
        <f>IFERROR(INDEX(rekap_tpp[], MATCH(MID(B16, FIND("NIP.", B16) + 4, LEN(B16)), INDEX(rekap_tpp[], 0, 8), 0), 20), "NIP tidak ditemukan")</f>
        <v>1904016812860001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 t="str">
        <f>IFERROR(INDEX(rekap_tpp[], MATCH(MID(B17, FIND("NIP.", B17) + 4, LEN(B17)), INDEX(rekap_tpp[], 0, 8), 0), 20), "NIP tidak ditemukan")</f>
        <v>1971050109810003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 t="str">
        <f>IFERROR(INDEX(rekap_tpp[], MATCH(MID(B18, FIND("NIP.", B18) + 4, LEN(B18)), INDEX(rekap_tpp[], 0, 8), 0), 20), "NIP tidak ditemukan")</f>
        <v>1971051806740001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 t="str">
        <f>IFERROR(INDEX(rekap_tpp[], MATCH(MID(B19, FIND("NIP.", B19) + 4, LEN(B19)), INDEX(rekap_tpp[], 0, 8), 0), 20), "NIP tidak ditemukan")</f>
        <v>1810022508810003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 t="str">
        <f>IFERROR(INDEX(rekap_tpp[], MATCH(MID(B20, FIND("NIP.", B20) + 4, LEN(B20)), INDEX(rekap_tpp[], 0, 8), 0), 20), "NIP tidak ditemukan")</f>
        <v>1905045808810002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 t="str">
        <f>IFERROR(INDEX(rekap_tpp[], MATCH(MID(B21, FIND("NIP.", B21) + 4, LEN(B21)), INDEX(rekap_tpp[], 0, 8), 0), 20), "NIP tidak ditemukan")</f>
        <v>1904016604820002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 t="str">
        <f>IFERROR(INDEX(rekap_tpp[], MATCH(MID(B22, FIND("NIP.", B22) + 4, LEN(B22)), INDEX(rekap_tpp[], 0, 8), 0), 20), "NIP tidak ditemukan")</f>
        <v>3273027004890002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 t="str">
        <f>IFERROR(INDEX(rekap_tpp[], MATCH(MID(B23, FIND("NIP.", B23) + 4, LEN(B23)), INDEX(rekap_tpp[], 0, 8), 0), 20), "NIP tidak ditemukan")</f>
        <v>1904016703820001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 t="str">
        <f>IFERROR(INDEX(rekap_tpp[], MATCH(MID(B24, FIND("NIP.", B24) + 4, LEN(B24)), INDEX(rekap_tpp[], 0, 8), 0), 20), "NIP tidak ditemukan")</f>
        <v>1904016107680003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 t="str">
        <f>IFERROR(INDEX(rekap_tpp[], MATCH(MID(B25, FIND("NIP.", B25) + 4, LEN(B25)), INDEX(rekap_tpp[], 0, 8), 0), 20), "NIP tidak ditemukan")</f>
        <v>1307041903880001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 t="str">
        <f>IFERROR(INDEX(rekap_tpp[], MATCH(MID(B26, FIND("NIP.", B26) + 4, LEN(B26)), INDEX(rekap_tpp[], 0, 8), 0), 20), "NIP tidak ditemukan")</f>
        <v>1904016702850001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 t="str">
        <f>IFERROR(INDEX(rekap_tpp[], MATCH(MID(B27, FIND("NIP.", B27) + 4, LEN(B27)), INDEX(rekap_tpp[], 0, 8), 0), 20), "NIP tidak ditemukan")</f>
        <v>1971014607790003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 t="str">
        <f>IFERROR(INDEX(rekap_tpp[], MATCH(MID(B28, FIND("NIP.", B28) + 4, LEN(B28)), INDEX(rekap_tpp[], 0, 8), 0), 20), "NIP tidak ditemukan")</f>
        <v>1971015311860002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 t="str">
        <f>IFERROR(INDEX(rekap_tpp[], MATCH(MID(B29, FIND("NIP.", B29) + 4, LEN(B29)), INDEX(rekap_tpp[], 0, 8), 0), 20), "NIP tidak ditemukan")</f>
        <v>1904015902790002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 t="str">
        <f>IFERROR(INDEX(rekap_tpp[], MATCH(MID(B30, FIND("NIP.", B30) + 4, LEN(B30)), INDEX(rekap_tpp[], 0, 8), 0), 20), "NIP tidak ditemukan")</f>
        <v>1904013108760002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 t="str">
        <f>IFERROR(INDEX(rekap_tpp[], MATCH(MID(B31, FIND("NIP.", B31) + 4, LEN(B31)), INDEX(rekap_tpp[], 0, 8), 0), 20), "NIP tidak ditemukan")</f>
        <v>1904015012810003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 t="str">
        <f>IFERROR(INDEX(rekap_tpp[], MATCH(MID(B32, FIND("NIP.", B32) + 4, LEN(B32)), INDEX(rekap_tpp[], 0, 8), 0), 20), "NIP tidak ditemukan")</f>
        <v>1901032608770001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 t="str">
        <f>IFERROR(INDEX(rekap_tpp[], MATCH(MID(B33, FIND("NIP.", B33) + 4, LEN(B33)), INDEX(rekap_tpp[], 0, 8), 0), 20), "NIP tidak ditemukan")</f>
        <v>1904014309700001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 t="str">
        <f>IFERROR(INDEX(rekap_tpp[], MATCH(MID(B34, FIND("NIP.", B34) + 4, LEN(B34)), INDEX(rekap_tpp[], 0, 8), 0), 20), "NIP tidak ditemukan")</f>
        <v>1904010405750003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 t="str">
        <f>IFERROR(INDEX(rekap_tpp[], MATCH(MID(B35, FIND("NIP.", B35) + 4, LEN(B35)), INDEX(rekap_tpp[], 0, 8), 0), 20), "NIP tidak ditemukan")</f>
        <v>1971054608800003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Agustus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5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2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JULI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0" t="s">
        <v>67</v>
      </c>
      <c r="B32" s="361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2"/>
      <c r="B33" s="363"/>
      <c r="C33" s="363"/>
      <c r="D33" s="363"/>
      <c r="E33" s="363"/>
      <c r="F33" s="363"/>
      <c r="G33" s="364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Agustus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5" t="s">
        <v>58</v>
      </c>
      <c r="G41" s="359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8" t="s">
        <v>59</v>
      </c>
      <c r="G42" s="359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2" t="s">
        <v>1</v>
      </c>
      <c r="B5" s="342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2" t="s">
        <v>2</v>
      </c>
      <c r="B6" s="342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2" t="s">
        <v>3</v>
      </c>
      <c r="B7" s="342"/>
      <c r="C7" s="190">
        <f>bpjs!C4</f>
        <v>46204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2" t="s">
        <v>30</v>
      </c>
      <c r="B9" s="373" t="s">
        <v>5</v>
      </c>
      <c r="C9" s="373" t="s">
        <v>6</v>
      </c>
      <c r="D9" s="378" t="s">
        <v>31</v>
      </c>
      <c r="E9" s="369" t="s">
        <v>32</v>
      </c>
      <c r="F9" s="381" t="s">
        <v>33</v>
      </c>
      <c r="G9" s="366" t="s">
        <v>34</v>
      </c>
      <c r="H9" s="367"/>
      <c r="I9" s="367"/>
      <c r="J9" s="368"/>
      <c r="K9" s="372" t="s">
        <v>35</v>
      </c>
      <c r="L9" s="369" t="s">
        <v>18</v>
      </c>
      <c r="M9" s="369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0"/>
      <c r="B10" s="370"/>
      <c r="C10" s="370"/>
      <c r="D10" s="379"/>
      <c r="E10" s="370"/>
      <c r="F10" s="370"/>
      <c r="G10" s="374" t="s">
        <v>37</v>
      </c>
      <c r="H10" s="376" t="s">
        <v>38</v>
      </c>
      <c r="I10" s="376" t="s">
        <v>39</v>
      </c>
      <c r="J10" s="377" t="s">
        <v>40</v>
      </c>
      <c r="K10" s="370"/>
      <c r="L10" s="370"/>
      <c r="M10" s="370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1"/>
      <c r="B11" s="371"/>
      <c r="C11" s="371"/>
      <c r="D11" s="380"/>
      <c r="E11" s="371"/>
      <c r="F11" s="371"/>
      <c r="G11" s="375"/>
      <c r="H11" s="371"/>
      <c r="I11" s="371"/>
      <c r="J11" s="371"/>
      <c r="K11" s="371"/>
      <c r="L11" s="371"/>
      <c r="M11" s="371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Agustus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JULI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Agustus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19" zoomScale="55" zoomScaleNormal="55" zoomScaleSheetLayoutView="55" workbookViewId="0">
      <selection activeCell="H8" sqref="H8:H3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JULI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2"/>
      <c r="C6" s="364"/>
      <c r="D6" s="364"/>
      <c r="E6" s="364"/>
      <c r="F6" s="364"/>
      <c r="G6" s="364"/>
      <c r="H6" s="364"/>
      <c r="I6" s="364"/>
      <c r="J6" s="364"/>
      <c r="K6" s="364"/>
      <c r="L6" s="364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3" t="s">
        <v>96</v>
      </c>
      <c r="D7" s="384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 t="str">
        <f>IFERROR(INDEX(rekap_tpp[], MATCH(MID(B8, FIND("NIP.", B8) + 4, LEN(B8)), INDEX(rekap_tpp[], 0, 8), 0), 11), "NIP tidak ditemukan")</f>
        <v>01610102532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31),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 t="str">
        <f>IFERROR(INDEX(rekap_tpp[], MATCH(MID(B9, FIND("NIP.", B9) + 4, LEN(B9)), INDEX(rekap_tpp[], 0, 8), 0), 11), "NIP tidak ditemukan")</f>
        <v>016109001439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31),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 t="str">
        <f>IFERROR(INDEX(rekap_tpp[], MATCH(MID(B10, FIND("NIP.", B10) + 4, LEN(B10)), INDEX(rekap_tpp[], 0, 8), 0), 11), "NIP tidak ditemukan")</f>
        <v>015509001575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31),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 t="str">
        <f>IFERROR(INDEX(rekap_tpp[], MATCH(MID(B11, FIND("NIP.", B11) + 4, LEN(B11)), INDEX(rekap_tpp[], 0, 8), 0), 11), "NIP tidak ditemukan")</f>
        <v>016109012278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31),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 t="str">
        <f>IFERROR(INDEX(rekap_tpp[], MATCH(MID(B12, FIND("NIP.", B12) + 4, LEN(B12)), INDEX(rekap_tpp[], 0, 8), 0), 11), "NIP tidak ditemukan")</f>
        <v>01610105556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31),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 t="str">
        <f>IFERROR(INDEX(rekap_tpp[], MATCH(MID(B13, FIND("NIP.", B13) + 4, LEN(B13)), INDEX(rekap_tpp[], 0, 8), 0), 11), "NIP tidak ditemukan")</f>
        <v>01610107829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31),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 t="str">
        <f>IFERROR(INDEX(rekap_tpp[], MATCH(MID(B14, FIND("NIP.", B14) + 4, LEN(B14)), INDEX(rekap_tpp[], 0, 8), 0), 11), "NIP tidak ditemukan")</f>
        <v>016109012398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31),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 t="str">
        <f>IFERROR(INDEX(rekap_tpp[], MATCH(MID(B15, FIND("NIP.", B15) + 4, LEN(B15)), INDEX(rekap_tpp[], 0, 8), 0), 11), "NIP tidak ditemukan")</f>
        <v>016109012246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31),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 t="str">
        <f>IFERROR(INDEX(rekap_tpp[], MATCH(MID(B16, FIND("NIP.", B16) + 4, LEN(B16)), INDEX(rekap_tpp[], 0, 8), 0), 11), "NIP tidak ditemukan")</f>
        <v>01610106580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31),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 t="str">
        <f>IFERROR(INDEX(rekap_tpp[], MATCH(MID(B17, FIND("NIP.", B17) + 4, LEN(B17)), INDEX(rekap_tpp[], 0, 8), 0), 11), "NIP tidak ditemukan")</f>
        <v>01440105481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31),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 t="str">
        <f>IFERROR(INDEX(rekap_tpp[], MATCH(MID(B18, FIND("NIP.", B18) + 4, LEN(B18)), INDEX(rekap_tpp[], 0, 8), 0), 11), "NIP tidak ditemukan")</f>
        <v>01460107125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31),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 t="str">
        <f>IFERROR(INDEX(rekap_tpp[], MATCH(MID(B19, FIND("NIP.", B19) + 4, LEN(B19)), INDEX(rekap_tpp[], 0, 8), 0), 11), "NIP tidak ditemukan")</f>
        <v>01900900969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31),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 t="str">
        <f>IFERROR(INDEX(rekap_tpp[], MATCH(MID(B20, FIND("NIP.", B20) + 4, LEN(B20)), INDEX(rekap_tpp[], 0, 8), 0), 11), "NIP tidak ditemukan")</f>
        <v>01610901678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31),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 t="str">
        <f>IFERROR(INDEX(rekap_tpp[], MATCH(MID(B21, FIND("NIP.", B21) + 4, LEN(B21)), INDEX(rekap_tpp[], 0, 8), 0), 11), "NIP tidak ditemukan")</f>
        <v>01610904070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31),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 t="str">
        <f>IFERROR(INDEX(rekap_tpp[], MATCH(MID(B22, FIND("NIP.", B22) + 4, LEN(B22)), INDEX(rekap_tpp[], 0, 8), 0), 11), "NIP tidak ditemukan")</f>
        <v>01610105795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31),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 t="str">
        <f>IFERROR(INDEX(rekap_tpp[], MATCH(MID(B23, FIND("NIP.", B23) + 4, LEN(B23)), INDEX(rekap_tpp[], 0, 8), 0), 11), "NIP tidak ditemukan")</f>
        <v>01610101008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31),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 t="str">
        <f>IFERROR(INDEX(rekap_tpp[], MATCH(MID(B24, FIND("NIP.", B24) + 4, LEN(B24)), INDEX(rekap_tpp[], 0, 8), 0), 11), "NIP tidak ditemukan")</f>
        <v>01610905245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31),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 t="str">
        <f>IFERROR(INDEX(rekap_tpp[], MATCH(MID(B25, FIND("NIP.", B25) + 4, LEN(B25)), INDEX(rekap_tpp[], 0, 8), 0), 11), "NIP tidak ditemukan")</f>
        <v>01610104975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31),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 t="str">
        <f>IFERROR(INDEX(rekap_tpp[], MATCH(MID(B26, FIND("NIP.", B26) + 4, LEN(B26)), INDEX(rekap_tpp[], 0, 8), 0), 11), "NIP tidak ditemukan")</f>
        <v>01610103820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31),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 t="str">
        <f>IFERROR(INDEX(rekap_tpp[], MATCH(MID(B27, FIND("NIP.", B27) + 4, LEN(B27)), INDEX(rekap_tpp[], 0, 8), 0), 11), "NIP tidak ditemukan")</f>
        <v>01610904107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31),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 t="str">
        <f>IFERROR(INDEX(rekap_tpp[], MATCH(MID(B28, FIND("NIP.", B28) + 4, LEN(B28)), INDEX(rekap_tpp[], 0, 8), 0), 11), "NIP tidak ditemukan")</f>
        <v>01610100879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31),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 t="str">
        <f>IFERROR(INDEX(rekap_tpp[], MATCH(MID(B29, FIND("NIP.", B29) + 4, LEN(B29)), INDEX(rekap_tpp[], 0, 8), 0), 11), "NIP tidak ditemukan")</f>
        <v>01610104362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31),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 t="str">
        <f>IFERROR(INDEX(rekap_tpp[], MATCH(MID(B30, FIND("NIP.", B30) + 4, LEN(B30)), INDEX(rekap_tpp[], 0, 8), 0), 11), "NIP tidak ditemukan")</f>
        <v>01610104840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31),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 t="str">
        <f>IFERROR(INDEX(rekap_tpp[], MATCH(MID(B31, FIND("NIP.", B31) + 4, LEN(B31)), INDEX(rekap_tpp[], 0, 8), 0), 11), "NIP tidak ditemukan")</f>
        <v>01610102485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31),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 t="str">
        <f>IFERROR(INDEX(rekap_tpp[], MATCH(MID(B32, FIND("NIP.", B32) + 4, LEN(B32)), INDEX(rekap_tpp[], 0, 8), 0), 11), "NIP tidak ditemukan")</f>
        <v>01610100141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31),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 t="str">
        <f>IFERROR(INDEX(rekap_tpp[], MATCH(MID(B33, FIND("NIP.", B33) + 4, LEN(B33)), INDEX(rekap_tpp[], 0, 8), 0), 11), "NIP tidak ditemukan")</f>
        <v>01610901665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31),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 t="str">
        <f>IFERROR(INDEX(rekap_tpp[], MATCH(MID(B34, FIND("NIP.", B34) + 4, LEN(B34)), INDEX(rekap_tpp[], 0, 8), 0), 11), "NIP tidak ditemukan")</f>
        <v>01610104837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31),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Agustus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19" zoomScale="70" zoomScaleNormal="70" workbookViewId="0">
      <selection activeCell="D19" sqref="D19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6" t="s">
        <v>301</v>
      </c>
      <c r="B8" s="386"/>
      <c r="C8" s="386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5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Juli 2026 telah dihitung dengan benar berdasarkan dokumen pelaksanaan anggaran dan dokumen pendukung lainnya.</v>
      </c>
      <c r="C19" s="385"/>
      <c r="J19" s="292"/>
    </row>
    <row r="20" spans="1:10" s="183" customFormat="1" ht="53" customHeight="1" x14ac:dyDescent="0.35">
      <c r="A20" s="303" t="s">
        <v>312</v>
      </c>
      <c r="B20" s="385" t="s">
        <v>309</v>
      </c>
      <c r="C20" s="385"/>
    </row>
    <row r="21" spans="1:10" s="183" customFormat="1" ht="93" customHeight="1" x14ac:dyDescent="0.35">
      <c r="A21" s="303" t="s">
        <v>313</v>
      </c>
      <c r="B21" s="385" t="s">
        <v>310</v>
      </c>
      <c r="C21" s="385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Agustus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 t="str">
        <f>bpjs!D9</f>
        <v>1904010504720002</v>
      </c>
      <c r="D2" s="268" t="str">
        <f>IFERROR(INDEX(rekap_tpp[], MATCH(A2, INDEX(rekap_tpp[], 0, 8), 0), 10), "NIP tidak ditemukan")</f>
        <v>47.631.159.2-315.000</v>
      </c>
      <c r="E2" s="269" t="str">
        <f>IFERROR(INDEX(rekap_tpp[], MATCH(A2, INDEX(rekap_tpp[], 0, 8), 0), 9), "NIP tidak ditemukan")</f>
        <v>05-04-1972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 t="str">
        <f>IFERROR(INDEX(rekap_tpp[], MATCH(A2, INDEX(rekap_tpp[], 0, 8), 0), 11), "NIP tidak ditemukan")</f>
        <v>01610102532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 t="str">
        <f>bpjs!D10</f>
        <v>1904011409860001</v>
      </c>
      <c r="D3" s="268" t="str">
        <f>IFERROR(INDEX(rekap_tpp[], MATCH(A3, INDEX(rekap_tpp[], 0, 8), 0), 10), "NIP tidak ditemukan")</f>
        <v>90.314.259.4-315.000</v>
      </c>
      <c r="E3" s="269" t="str">
        <f>IFERROR(INDEX(rekap_tpp[], MATCH(A3, INDEX(rekap_tpp[], 0, 8), 0), 9), "NIP tidak ditemukan")</f>
        <v>14-09-1986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 t="str">
        <f>IFERROR(INDEX(rekap_tpp[], MATCH(A3, INDEX(rekap_tpp[], 0, 8), 0), 11), "NIP tidak ditemukan")</f>
        <v>016109001439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 t="str">
        <f>bpjs!D11</f>
        <v>1371066201900003</v>
      </c>
      <c r="D4" s="268" t="str">
        <f>IFERROR(INDEX(rekap_tpp[], MATCH(A4, INDEX(rekap_tpp[], 0, 8), 0), 10), "NIP tidak ditemukan")</f>
        <v>84.521.517.7-315.000</v>
      </c>
      <c r="E4" s="269" t="str">
        <f>IFERROR(INDEX(rekap_tpp[], MATCH(A4, INDEX(rekap_tpp[], 0, 8), 0), 9), "NIP tidak ditemukan")</f>
        <v>22-01-1990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 t="str">
        <f>IFERROR(INDEX(rekap_tpp[], MATCH(A4, INDEX(rekap_tpp[], 0, 8), 0), 11), "NIP tidak ditemukan")</f>
        <v>015509001575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 t="str">
        <f>bpjs!D12</f>
        <v>3278010102860008</v>
      </c>
      <c r="D5" s="268" t="str">
        <f>IFERROR(INDEX(rekap_tpp[], MATCH(A5, INDEX(rekap_tpp[], 0, 8), 0), 10), "NIP tidak ditemukan")</f>
        <v>46.884.030.1-425.000</v>
      </c>
      <c r="E5" s="269" t="str">
        <f>IFERROR(INDEX(rekap_tpp[], MATCH(A5, INDEX(rekap_tpp[], 0, 8), 0), 9), "NIP tidak ditemukan")</f>
        <v>01-02-1986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 t="str">
        <f>IFERROR(INDEX(rekap_tpp[], MATCH(A5, INDEX(rekap_tpp[], 0, 8), 0), 11), "NIP tidak ditemukan")</f>
        <v>016109012278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 t="str">
        <f>bpjs!D13</f>
        <v>1901025503810001</v>
      </c>
      <c r="D6" s="268" t="str">
        <f>IFERROR(INDEX(rekap_tpp[], MATCH(A6, INDEX(rekap_tpp[], 0, 8), 0), 10), "NIP tidak ditemukan")</f>
        <v>14.646.183.5-315.000</v>
      </c>
      <c r="E6" s="269" t="str">
        <f>IFERROR(INDEX(rekap_tpp[], MATCH(A6, INDEX(rekap_tpp[], 0, 8), 0), 9), "NIP tidak ditemukan")</f>
        <v>15-03-1981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 t="str">
        <f>IFERROR(INDEX(rekap_tpp[], MATCH(A6, INDEX(rekap_tpp[], 0, 8), 0), 11), "NIP tidak ditemukan")</f>
        <v>01610105556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 t="str">
        <f>bpjs!D14</f>
        <v>1671043009880003</v>
      </c>
      <c r="D7" s="268" t="str">
        <f>IFERROR(INDEX(rekap_tpp[], MATCH(A7, INDEX(rekap_tpp[], 0, 8), 0), 10), "NIP tidak ditemukan")</f>
        <v>70.221.218.4-315.000</v>
      </c>
      <c r="E7" s="269" t="str">
        <f>IFERROR(INDEX(rekap_tpp[], MATCH(A7, INDEX(rekap_tpp[], 0, 8), 0), 9), "NIP tidak ditemukan")</f>
        <v>30-09-1988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 t="str">
        <f>IFERROR(INDEX(rekap_tpp[], MATCH(A7, INDEX(rekap_tpp[], 0, 8), 0), 11), "NIP tidak ditemukan")</f>
        <v>01610107829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 t="str">
        <f>bpjs!D15</f>
        <v>1971031510840002</v>
      </c>
      <c r="D8" s="268" t="str">
        <f>IFERROR(INDEX(rekap_tpp[], MATCH(A8, INDEX(rekap_tpp[], 0, 8), 0), 10), "NIP tidak ditemukan")</f>
        <v>67.981.915.1-304.000</v>
      </c>
      <c r="E8" s="269" t="str">
        <f>IFERROR(INDEX(rekap_tpp[], MATCH(A8, INDEX(rekap_tpp[], 0, 8), 0), 9), "NIP tidak ditemukan")</f>
        <v>15-10-1984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 t="str">
        <f>IFERROR(INDEX(rekap_tpp[], MATCH(A8, INDEX(rekap_tpp[], 0, 8), 0), 11), "NIP tidak ditemukan")</f>
        <v>016109012398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 t="str">
        <f>bpjs!D16</f>
        <v>1904016812860001</v>
      </c>
      <c r="D9" s="268" t="str">
        <f>IFERROR(INDEX(rekap_tpp[], MATCH(A9, INDEX(rekap_tpp[], 0, 8), 0), 10), "NIP tidak ditemukan")</f>
        <v>15.939.487.3-315.000</v>
      </c>
      <c r="E9" s="269" t="str">
        <f>IFERROR(INDEX(rekap_tpp[], MATCH(A9, INDEX(rekap_tpp[], 0, 8), 0), 9), "NIP tidak ditemukan")</f>
        <v>28-12-1986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 t="str">
        <f>IFERROR(INDEX(rekap_tpp[], MATCH(A9, INDEX(rekap_tpp[], 0, 8), 0), 11), "NIP tidak ditemukan")</f>
        <v>016109012246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 t="str">
        <f>bpjs!D17</f>
        <v>1971050109810003</v>
      </c>
      <c r="D10" s="268" t="str">
        <f>IFERROR(INDEX(rekap_tpp[], MATCH(A10, INDEX(rekap_tpp[], 0, 8), 0), 10), "NIP tidak ditemukan")</f>
        <v>14.664.020.6.304.000</v>
      </c>
      <c r="E10" s="269" t="str">
        <f>IFERROR(INDEX(rekap_tpp[], MATCH(A10, INDEX(rekap_tpp[], 0, 8), 0), 9), "NIP tidak ditemukan")</f>
        <v>01-09-1981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 t="str">
        <f>IFERROR(INDEX(rekap_tpp[], MATCH(A10, INDEX(rekap_tpp[], 0, 8), 0), 11), "NIP tidak ditemukan")</f>
        <v>01610106580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 t="str">
        <f>bpjs!D18</f>
        <v>1971051806740001</v>
      </c>
      <c r="D11" s="268" t="str">
        <f>IFERROR(INDEX(rekap_tpp[], MATCH(A11, INDEX(rekap_tpp[], 0, 8), 0), 10), "NIP tidak ditemukan")</f>
        <v>15.309.140.0-304.000</v>
      </c>
      <c r="E11" s="269" t="str">
        <f>IFERROR(INDEX(rekap_tpp[], MATCH(A11, INDEX(rekap_tpp[], 0, 8), 0), 9), "NIP tidak ditemukan")</f>
        <v>18-06-1974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 t="str">
        <f>IFERROR(INDEX(rekap_tpp[], MATCH(A11, INDEX(rekap_tpp[], 0, 8), 0), 11), "NIP tidak ditemukan")</f>
        <v>01440105481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 t="str">
        <f>bpjs!D19</f>
        <v>1810022508810003</v>
      </c>
      <c r="D12" s="268" t="str">
        <f>IFERROR(INDEX(rekap_tpp[], MATCH(A12, INDEX(rekap_tpp[], 0, 8), 0), 10), "NIP tidak ditemukan")</f>
        <v>97.015.966.1-305.000</v>
      </c>
      <c r="E12" s="269" t="str">
        <f>IFERROR(INDEX(rekap_tpp[], MATCH(A12, INDEX(rekap_tpp[], 0, 8), 0), 9), "NIP tidak ditemukan")</f>
        <v>25-08-1981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 t="str">
        <f>IFERROR(INDEX(rekap_tpp[], MATCH(A12, INDEX(rekap_tpp[], 0, 8), 0), 11), "NIP tidak ditemukan")</f>
        <v>01460107125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 t="str">
        <f>bpjs!D20</f>
        <v>1905045808810002</v>
      </c>
      <c r="D13" s="268" t="str">
        <f>IFERROR(INDEX(rekap_tpp[], MATCH(A13, INDEX(rekap_tpp[], 0, 8), 0), 10), "NIP tidak ditemukan")</f>
        <v>08.456.457.4-315.000</v>
      </c>
      <c r="E13" s="269" t="str">
        <f>IFERROR(INDEX(rekap_tpp[], MATCH(A13, INDEX(rekap_tpp[], 0, 8), 0), 9), "NIP tidak ditemukan")</f>
        <v>18-08-1981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 t="str">
        <f>IFERROR(INDEX(rekap_tpp[], MATCH(A13, INDEX(rekap_tpp[], 0, 8), 0), 11), "NIP tidak ditemukan")</f>
        <v>01900900969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 t="str">
        <f>bpjs!D21</f>
        <v>1904016604820002</v>
      </c>
      <c r="D14" s="268" t="str">
        <f>IFERROR(INDEX(rekap_tpp[], MATCH(A14, INDEX(rekap_tpp[], 0, 8), 0), 10), "NIP tidak ditemukan")</f>
        <v>16.009.399.3-315.000</v>
      </c>
      <c r="E14" s="269" t="str">
        <f>IFERROR(INDEX(rekap_tpp[], MATCH(A14, INDEX(rekap_tpp[], 0, 8), 0), 9), "NIP tidak ditemukan")</f>
        <v>26-04-1982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 t="str">
        <f>IFERROR(INDEX(rekap_tpp[], MATCH(A14, INDEX(rekap_tpp[], 0, 8), 0), 11), "NIP tidak ditemukan")</f>
        <v>01610901678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 t="str">
        <f>bpjs!D22</f>
        <v>3273027004890002</v>
      </c>
      <c r="D15" s="268" t="str">
        <f>IFERROR(INDEX(rekap_tpp[], MATCH(A15, INDEX(rekap_tpp[], 0, 8), 0), 10), "NIP tidak ditemukan")</f>
        <v>70.352.387.8-305.000</v>
      </c>
      <c r="E15" s="269" t="str">
        <f>IFERROR(INDEX(rekap_tpp[], MATCH(A15, INDEX(rekap_tpp[], 0, 8), 0), 9), "NIP tidak ditemukan")</f>
        <v>30-04-1989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 t="str">
        <f>IFERROR(INDEX(rekap_tpp[], MATCH(A15, INDEX(rekap_tpp[], 0, 8), 0), 11), "NIP tidak ditemukan")</f>
        <v>01610904070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 t="str">
        <f>bpjs!D23</f>
        <v>1904016703820001</v>
      </c>
      <c r="D16" s="268" t="str">
        <f>IFERROR(INDEX(rekap_tpp[], MATCH(A16, INDEX(rekap_tpp[], 0, 8), 0), 10), "NIP tidak ditemukan")</f>
        <v>79.287.648.4-315.000</v>
      </c>
      <c r="E16" s="269" t="str">
        <f>IFERROR(INDEX(rekap_tpp[], MATCH(A16, INDEX(rekap_tpp[], 0, 8), 0), 9), "NIP tidak ditemukan")</f>
        <v>27-03-1982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 t="str">
        <f>IFERROR(INDEX(rekap_tpp[], MATCH(A16, INDEX(rekap_tpp[], 0, 8), 0), 11), "NIP tidak ditemukan")</f>
        <v>01610105795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 t="str">
        <f>bpjs!D24</f>
        <v>1904016107680003</v>
      </c>
      <c r="D17" s="268" t="str">
        <f>IFERROR(INDEX(rekap_tpp[], MATCH(A17, INDEX(rekap_tpp[], 0, 8), 0), 10), "NIP tidak ditemukan")</f>
        <v>47.942.395.6-315.000</v>
      </c>
      <c r="E17" s="269" t="str">
        <f>IFERROR(INDEX(rekap_tpp[], MATCH(A17, INDEX(rekap_tpp[], 0, 8), 0), 9), "NIP tidak ditemukan")</f>
        <v>21-07-1968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 t="str">
        <f>IFERROR(INDEX(rekap_tpp[], MATCH(A17, INDEX(rekap_tpp[], 0, 8), 0), 11), "NIP tidak ditemukan")</f>
        <v>01610101008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 t="str">
        <f>bpjs!D25</f>
        <v>1307041903880001</v>
      </c>
      <c r="D18" s="268" t="str">
        <f>IFERROR(INDEX(rekap_tpp[], MATCH(A18, INDEX(rekap_tpp[], 0, 8), 0), 10), "NIP tidak ditemukan")</f>
        <v>70.266.784.1-315.000</v>
      </c>
      <c r="E18" s="269" t="str">
        <f>IFERROR(INDEX(rekap_tpp[], MATCH(A18, INDEX(rekap_tpp[], 0, 8), 0), 9), "NIP tidak ditemukan")</f>
        <v>19-03-1988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 t="str">
        <f>IFERROR(INDEX(rekap_tpp[], MATCH(A18, INDEX(rekap_tpp[], 0, 8), 0), 11), "NIP tidak ditemukan")</f>
        <v>01610905245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 t="str">
        <f>bpjs!D26</f>
        <v>1904016702850001</v>
      </c>
      <c r="D19" s="268" t="str">
        <f>IFERROR(INDEX(rekap_tpp[], MATCH(A19, INDEX(rekap_tpp[], 0, 8), 0), 10), "NIP tidak ditemukan")</f>
        <v>15.848.509.4-315.000</v>
      </c>
      <c r="E19" s="269" t="str">
        <f>IFERROR(INDEX(rekap_tpp[], MATCH(A19, INDEX(rekap_tpp[], 0, 8), 0), 9), "NIP tidak ditemukan")</f>
        <v>27-02-1985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 t="str">
        <f>IFERROR(INDEX(rekap_tpp[], MATCH(A19, INDEX(rekap_tpp[], 0, 8), 0), 11), "NIP tidak ditemukan")</f>
        <v>01610104975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 t="str">
        <f>bpjs!D27</f>
        <v>1971014607790003</v>
      </c>
      <c r="D20" s="268" t="str">
        <f>IFERROR(INDEX(rekap_tpp[], MATCH(A20, INDEX(rekap_tpp[], 0, 8), 0), 10), "NIP tidak ditemukan")</f>
        <v>14.664.001.6-304.000</v>
      </c>
      <c r="E20" s="269" t="str">
        <f>IFERROR(INDEX(rekap_tpp[], MATCH(A20, INDEX(rekap_tpp[], 0, 8), 0), 9), "NIP tidak ditemukan")</f>
        <v>06-07-1979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 t="str">
        <f>IFERROR(INDEX(rekap_tpp[], MATCH(A20, INDEX(rekap_tpp[], 0, 8), 0), 11), "NIP tidak ditemukan")</f>
        <v>01610103820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 t="str">
        <f>bpjs!D28</f>
        <v>1971015311860002</v>
      </c>
      <c r="D21" s="268" t="str">
        <f>IFERROR(INDEX(rekap_tpp[], MATCH(A21, INDEX(rekap_tpp[], 0, 8), 0), 10), "NIP tidak ditemukan")</f>
        <v>15.941.951.4-304.000</v>
      </c>
      <c r="E21" s="269" t="str">
        <f>IFERROR(INDEX(rekap_tpp[], MATCH(A21, INDEX(rekap_tpp[], 0, 8), 0), 9), "NIP tidak ditemukan")</f>
        <v>13-11-1986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 t="str">
        <f>IFERROR(INDEX(rekap_tpp[], MATCH(A21, INDEX(rekap_tpp[], 0, 8), 0), 11), "NIP tidak ditemukan")</f>
        <v>01610904107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 t="str">
        <f>bpjs!D29</f>
        <v>1904015902790002</v>
      </c>
      <c r="D22" s="268" t="str">
        <f>IFERROR(INDEX(rekap_tpp[], MATCH(A22, INDEX(rekap_tpp[], 0, 8), 0), 10), "NIP tidak ditemukan")</f>
        <v>69.552.938.8-315.000</v>
      </c>
      <c r="E22" s="269" t="str">
        <f>IFERROR(INDEX(rekap_tpp[], MATCH(A22, INDEX(rekap_tpp[], 0, 8), 0), 9), "NIP tidak ditemukan")</f>
        <v>19-02-1979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 t="str">
        <f>IFERROR(INDEX(rekap_tpp[], MATCH(A22, INDEX(rekap_tpp[], 0, 8), 0), 11), "NIP tidak ditemukan")</f>
        <v>01610100879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 t="str">
        <f>bpjs!D30</f>
        <v>1904013108760002</v>
      </c>
      <c r="D23" s="268" t="str">
        <f>IFERROR(INDEX(rekap_tpp[], MATCH(A23, INDEX(rekap_tpp[], 0, 8), 0), 10), "NIP tidak ditemukan")</f>
        <v>47.631.167.5.315.000</v>
      </c>
      <c r="E23" s="269" t="str">
        <f>IFERROR(INDEX(rekap_tpp[], MATCH(A23, INDEX(rekap_tpp[], 0, 8), 0), 9), "NIP tidak ditemukan")</f>
        <v>31-08-1976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 t="str">
        <f>IFERROR(INDEX(rekap_tpp[], MATCH(A23, INDEX(rekap_tpp[], 0, 8), 0), 11), "NIP tidak ditemukan")</f>
        <v>01610104362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 t="str">
        <f>bpjs!D31</f>
        <v>1904015012810003</v>
      </c>
      <c r="D24" s="268" t="str">
        <f>IFERROR(INDEX(rekap_tpp[], MATCH(A24, INDEX(rekap_tpp[], 0, 8), 0), 10), "NIP tidak ditemukan")</f>
        <v>69.552.976.8-315.000</v>
      </c>
      <c r="E24" s="269" t="str">
        <f>IFERROR(INDEX(rekap_tpp[], MATCH(A24, INDEX(rekap_tpp[], 0, 8), 0), 9), "NIP tidak ditemukan")</f>
        <v>10-12-1981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 t="str">
        <f>IFERROR(INDEX(rekap_tpp[], MATCH(A24, INDEX(rekap_tpp[], 0, 8), 0), 11), "NIP tidak ditemukan")</f>
        <v>01610104840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 t="str">
        <f>bpjs!D32</f>
        <v>1901032608770001</v>
      </c>
      <c r="D25" s="268" t="str">
        <f>IFERROR(INDEX(rekap_tpp[], MATCH(A25, INDEX(rekap_tpp[], 0, 8), 0), 10), "NIP tidak ditemukan")</f>
        <v>47.631.176.3.315.000</v>
      </c>
      <c r="E25" s="269" t="str">
        <f>IFERROR(INDEX(rekap_tpp[], MATCH(A25, INDEX(rekap_tpp[], 0, 8), 0), 9), "NIP tidak ditemukan")</f>
        <v>26-08-1977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 t="str">
        <f>IFERROR(INDEX(rekap_tpp[], MATCH(A25, INDEX(rekap_tpp[], 0, 8), 0), 11), "NIP tidak ditemukan")</f>
        <v>01610102485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 t="str">
        <f>bpjs!D33</f>
        <v>1904014309700001</v>
      </c>
      <c r="D26" s="268" t="str">
        <f>IFERROR(INDEX(rekap_tpp[], MATCH(A26, INDEX(rekap_tpp[], 0, 8), 0), 10), "NIP tidak ditemukan")</f>
        <v>79.287.650.0-315.000</v>
      </c>
      <c r="E26" s="269" t="str">
        <f>IFERROR(INDEX(rekap_tpp[], MATCH(A26, INDEX(rekap_tpp[], 0, 8), 0), 9), "NIP tidak ditemukan")</f>
        <v>03-09-1970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 t="str">
        <f>IFERROR(INDEX(rekap_tpp[], MATCH(A26, INDEX(rekap_tpp[], 0, 8), 0), 11), "NIP tidak ditemukan")</f>
        <v>01610100141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 t="str">
        <f>bpjs!D34</f>
        <v>1904010405750003</v>
      </c>
      <c r="D27" s="268" t="str">
        <f>IFERROR(INDEX(rekap_tpp[], MATCH(A27, INDEX(rekap_tpp[], 0, 8), 0), 10), "NIP tidak ditemukan")</f>
        <v>16.009.469.4-315.000</v>
      </c>
      <c r="E27" s="269" t="str">
        <f>IFERROR(INDEX(rekap_tpp[], MATCH(A27, INDEX(rekap_tpp[], 0, 8), 0), 9), "NIP tidak ditemukan")</f>
        <v>04-05-1975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 t="str">
        <f>IFERROR(INDEX(rekap_tpp[], MATCH(A27, INDEX(rekap_tpp[], 0, 8), 0), 11), "NIP tidak ditemukan")</f>
        <v>01610901665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 t="str">
        <f>bpjs!D35</f>
        <v>1971054608800003</v>
      </c>
      <c r="D28" s="268" t="str">
        <f>IFERROR(INDEX(rekap_tpp[], MATCH(A28, INDEX(rekap_tpp[], 0, 8), 0), 10), "NIP tidak ditemukan")</f>
        <v>67.981.807.0-304.000</v>
      </c>
      <c r="E28" s="269" t="str">
        <f>IFERROR(INDEX(rekap_tpp[], MATCH(A28, INDEX(rekap_tpp[], 0, 8), 0), 9), "NIP tidak ditemukan")</f>
        <v>29-08-1980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 t="str">
        <f>IFERROR(INDEX(rekap_tpp[], MATCH(A28, INDEX(rekap_tpp[], 0, 8), 0), 11), "NIP tidak ditemukan")</f>
        <v>01610104837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opLeftCell="Y1" zoomScale="66" workbookViewId="0">
      <selection activeCell="E15" sqref="E15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26.26953125" bestFit="1" customWidth="1"/>
    <col min="24" max="24" width="80.7265625" bestFit="1" customWidth="1"/>
    <col min="25" max="25" width="22.81640625" bestFit="1" customWidth="1"/>
    <col min="26" max="26" width="23.26953125" bestFit="1" customWidth="1"/>
    <col min="27" max="27" width="17" bestFit="1" customWidth="1"/>
    <col min="28" max="28" width="15.26953125" bestFit="1" customWidth="1"/>
    <col min="29" max="29" width="35.36328125" bestFit="1" customWidth="1"/>
    <col min="30" max="30" width="14.1796875" bestFit="1" customWidth="1"/>
    <col min="31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6" t="s">
        <v>102</v>
      </c>
      <c r="B1" s="306" t="s">
        <v>103</v>
      </c>
      <c r="C1" s="306" t="s">
        <v>104</v>
      </c>
      <c r="D1" s="306" t="s">
        <v>105</v>
      </c>
      <c r="E1" s="306" t="s">
        <v>106</v>
      </c>
      <c r="F1" s="306" t="s">
        <v>107</v>
      </c>
      <c r="G1" s="306" t="s">
        <v>101</v>
      </c>
      <c r="H1" s="306" t="s">
        <v>100</v>
      </c>
      <c r="I1" s="306" t="s">
        <v>41</v>
      </c>
      <c r="J1" s="306" t="s">
        <v>42</v>
      </c>
      <c r="K1" s="306" t="s">
        <v>43</v>
      </c>
      <c r="L1" s="306" t="s">
        <v>44</v>
      </c>
      <c r="M1" s="306" t="s">
        <v>108</v>
      </c>
      <c r="N1" s="306" t="s">
        <v>109</v>
      </c>
      <c r="O1" s="306" t="s">
        <v>45</v>
      </c>
      <c r="P1" s="306" t="s">
        <v>46</v>
      </c>
      <c r="Q1" s="306" t="s">
        <v>110</v>
      </c>
      <c r="R1" s="306" t="s">
        <v>47</v>
      </c>
      <c r="S1" s="306" t="s">
        <v>48</v>
      </c>
      <c r="T1" s="306" t="s">
        <v>49</v>
      </c>
      <c r="U1" s="306" t="s">
        <v>50</v>
      </c>
      <c r="V1" s="306" t="s">
        <v>51</v>
      </c>
      <c r="W1" s="306" t="s">
        <v>52</v>
      </c>
      <c r="X1" s="306" t="s">
        <v>111</v>
      </c>
      <c r="Y1" s="306" t="s">
        <v>53</v>
      </c>
      <c r="Z1" s="306" t="s">
        <v>54</v>
      </c>
      <c r="AA1" s="306" t="s">
        <v>55</v>
      </c>
      <c r="AB1" s="306" t="s">
        <v>56</v>
      </c>
      <c r="AC1" s="306" t="s">
        <v>462</v>
      </c>
      <c r="AD1" s="306" t="s">
        <v>463</v>
      </c>
      <c r="AE1" s="306" t="s">
        <v>466</v>
      </c>
      <c r="AF1" s="306" t="s">
        <v>467</v>
      </c>
      <c r="AG1" s="306"/>
      <c r="AH1" s="306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464</v>
      </c>
      <c r="R2" t="s">
        <v>358</v>
      </c>
      <c r="S2" t="s">
        <v>465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/>
      <c r="AG2"/>
      <c r="AH2"/>
    </row>
    <row r="3" spans="1:34" x14ac:dyDescent="0.35">
      <c r="A3" s="289" t="s">
        <v>371</v>
      </c>
      <c r="B3" s="289" t="s">
        <v>174</v>
      </c>
      <c r="C3" s="289" t="s">
        <v>175</v>
      </c>
      <c r="D3" s="289">
        <v>9</v>
      </c>
      <c r="E3" s="289">
        <v>1626000</v>
      </c>
      <c r="F3" s="289">
        <v>0</v>
      </c>
      <c r="G3" s="289">
        <v>1626000</v>
      </c>
      <c r="H3" s="289" t="s">
        <v>184</v>
      </c>
      <c r="I3" s="289" t="s">
        <v>471</v>
      </c>
      <c r="J3" s="289" t="s">
        <v>225</v>
      </c>
      <c r="K3" s="289" t="s">
        <v>472</v>
      </c>
      <c r="L3" s="289" t="s">
        <v>372</v>
      </c>
      <c r="M3" s="289">
        <v>5452600</v>
      </c>
      <c r="N3" s="289" t="s">
        <v>373</v>
      </c>
      <c r="O3" s="289">
        <v>666660</v>
      </c>
      <c r="P3" s="289">
        <v>0</v>
      </c>
      <c r="Q3" s="183">
        <v>0</v>
      </c>
      <c r="R3" s="289">
        <v>959340</v>
      </c>
      <c r="S3" s="183">
        <v>0</v>
      </c>
      <c r="T3" s="289" t="s">
        <v>262</v>
      </c>
      <c r="U3" s="289">
        <v>2</v>
      </c>
      <c r="V3" s="289">
        <v>1</v>
      </c>
      <c r="W3" s="289">
        <v>24</v>
      </c>
      <c r="X3" s="289" t="s">
        <v>374</v>
      </c>
      <c r="Y3" s="289">
        <v>1</v>
      </c>
      <c r="Z3" s="289">
        <v>1</v>
      </c>
      <c r="AA3" s="289">
        <v>1</v>
      </c>
      <c r="AB3" s="289" t="s">
        <v>375</v>
      </c>
      <c r="AC3" s="289">
        <v>1610102532</v>
      </c>
      <c r="AD3" s="289" t="s">
        <v>376</v>
      </c>
      <c r="AE3" s="289">
        <v>83635</v>
      </c>
      <c r="AF3"/>
      <c r="AG3"/>
      <c r="AH3"/>
    </row>
    <row r="4" spans="1:34" x14ac:dyDescent="0.35">
      <c r="A4" s="289" t="s">
        <v>377</v>
      </c>
      <c r="B4" s="289" t="s">
        <v>179</v>
      </c>
      <c r="C4" s="289" t="s">
        <v>180</v>
      </c>
      <c r="D4" s="289">
        <v>8</v>
      </c>
      <c r="E4" s="289">
        <v>1606000</v>
      </c>
      <c r="F4" s="289">
        <v>0</v>
      </c>
      <c r="G4" s="289">
        <v>1606000</v>
      </c>
      <c r="H4" s="289" t="s">
        <v>201</v>
      </c>
      <c r="I4" s="289" t="s">
        <v>473</v>
      </c>
      <c r="J4" s="289" t="s">
        <v>239</v>
      </c>
      <c r="K4" s="289" t="s">
        <v>474</v>
      </c>
      <c r="L4" s="289" t="s">
        <v>372</v>
      </c>
      <c r="M4" s="289">
        <v>3513600</v>
      </c>
      <c r="N4" s="289" t="s">
        <v>378</v>
      </c>
      <c r="O4" s="289">
        <v>835120</v>
      </c>
      <c r="P4" s="289">
        <v>0</v>
      </c>
      <c r="Q4" s="183">
        <v>0</v>
      </c>
      <c r="R4" s="289">
        <v>770880</v>
      </c>
      <c r="S4" s="183">
        <v>0</v>
      </c>
      <c r="T4" s="289" t="s">
        <v>279</v>
      </c>
      <c r="U4" s="289">
        <v>2</v>
      </c>
      <c r="V4" s="289">
        <v>1</v>
      </c>
      <c r="W4" s="289">
        <v>6</v>
      </c>
      <c r="X4" s="289" t="s">
        <v>379</v>
      </c>
      <c r="Y4" s="289">
        <v>2</v>
      </c>
      <c r="Z4" s="289">
        <v>0</v>
      </c>
      <c r="AA4" s="289">
        <v>0</v>
      </c>
      <c r="AB4" s="289" t="s">
        <v>375</v>
      </c>
      <c r="AC4" s="289">
        <v>16109001439</v>
      </c>
      <c r="AD4" s="289" t="s">
        <v>376</v>
      </c>
      <c r="AE4" s="289"/>
      <c r="AF4"/>
      <c r="AG4"/>
      <c r="AH4"/>
    </row>
    <row r="5" spans="1:34" x14ac:dyDescent="0.35">
      <c r="A5" s="289" t="s">
        <v>380</v>
      </c>
      <c r="B5" s="289" t="s">
        <v>181</v>
      </c>
      <c r="C5" s="289" t="s">
        <v>319</v>
      </c>
      <c r="D5" s="289">
        <v>8</v>
      </c>
      <c r="E5" s="289">
        <v>1100000</v>
      </c>
      <c r="F5" s="289">
        <v>0</v>
      </c>
      <c r="G5" s="289">
        <v>1100000</v>
      </c>
      <c r="H5" s="289" t="s">
        <v>209</v>
      </c>
      <c r="I5" s="289" t="s">
        <v>475</v>
      </c>
      <c r="J5" s="289" t="s">
        <v>246</v>
      </c>
      <c r="K5" s="289" t="s">
        <v>476</v>
      </c>
      <c r="L5" s="289" t="s">
        <v>372</v>
      </c>
      <c r="M5" s="289">
        <v>4058600</v>
      </c>
      <c r="N5" s="289" t="s">
        <v>381</v>
      </c>
      <c r="O5" s="289">
        <v>1100000</v>
      </c>
      <c r="P5" s="289">
        <v>0</v>
      </c>
      <c r="Q5" s="183">
        <v>0</v>
      </c>
      <c r="R5" s="289">
        <v>0</v>
      </c>
      <c r="S5" s="183">
        <v>0</v>
      </c>
      <c r="T5" s="289" t="s">
        <v>287</v>
      </c>
      <c r="U5" s="289">
        <v>2</v>
      </c>
      <c r="V5" s="289">
        <v>2</v>
      </c>
      <c r="W5" s="289">
        <v>2</v>
      </c>
      <c r="X5" s="289" t="s">
        <v>382</v>
      </c>
      <c r="Y5" s="289">
        <v>1</v>
      </c>
      <c r="Z5" s="289">
        <v>1</v>
      </c>
      <c r="AA5" s="289">
        <v>0</v>
      </c>
      <c r="AB5" s="289" t="s">
        <v>375</v>
      </c>
      <c r="AC5" s="289">
        <v>1610800075</v>
      </c>
      <c r="AD5" s="289" t="s">
        <v>376</v>
      </c>
      <c r="AE5" s="289"/>
      <c r="AF5"/>
      <c r="AG5"/>
      <c r="AH5"/>
    </row>
    <row r="6" spans="1:34" x14ac:dyDescent="0.35">
      <c r="A6" s="289" t="s">
        <v>383</v>
      </c>
      <c r="B6" s="289" t="s">
        <v>181</v>
      </c>
      <c r="C6" s="289" t="s">
        <v>319</v>
      </c>
      <c r="D6" s="289">
        <v>8</v>
      </c>
      <c r="E6" s="289">
        <v>1000000</v>
      </c>
      <c r="F6" s="289">
        <v>0</v>
      </c>
      <c r="G6" s="289">
        <v>1000000</v>
      </c>
      <c r="H6" s="289" t="s">
        <v>221</v>
      </c>
      <c r="I6" s="289" t="s">
        <v>477</v>
      </c>
      <c r="J6" s="289" t="s">
        <v>258</v>
      </c>
      <c r="K6" s="289" t="s">
        <v>478</v>
      </c>
      <c r="L6" s="289" t="s">
        <v>372</v>
      </c>
      <c r="M6" s="289">
        <v>3949000</v>
      </c>
      <c r="N6" s="289" t="s">
        <v>381</v>
      </c>
      <c r="O6" s="289">
        <v>1000000</v>
      </c>
      <c r="P6" s="289">
        <v>0</v>
      </c>
      <c r="Q6" s="183">
        <v>0</v>
      </c>
      <c r="R6" s="289">
        <v>0</v>
      </c>
      <c r="S6" s="183">
        <v>0</v>
      </c>
      <c r="T6" s="289" t="s">
        <v>299</v>
      </c>
      <c r="U6" s="289">
        <v>2</v>
      </c>
      <c r="V6" s="289">
        <v>2</v>
      </c>
      <c r="W6" s="289">
        <v>0</v>
      </c>
      <c r="X6" s="289" t="s">
        <v>384</v>
      </c>
      <c r="Y6" s="289">
        <v>1</v>
      </c>
      <c r="Z6" s="289">
        <v>1</v>
      </c>
      <c r="AA6" s="289">
        <v>0</v>
      </c>
      <c r="AB6" s="289" t="s">
        <v>375</v>
      </c>
      <c r="AC6" s="289">
        <v>1440966672</v>
      </c>
      <c r="AD6" s="289" t="s">
        <v>376</v>
      </c>
      <c r="AE6" s="289"/>
      <c r="AF6"/>
      <c r="AG6"/>
      <c r="AH6"/>
    </row>
    <row r="7" spans="1:34" x14ac:dyDescent="0.35">
      <c r="A7" s="289" t="s">
        <v>385</v>
      </c>
      <c r="B7" s="289" t="s">
        <v>179</v>
      </c>
      <c r="C7" s="289" t="s">
        <v>180</v>
      </c>
      <c r="D7" s="289">
        <v>8</v>
      </c>
      <c r="E7" s="289">
        <v>1606000</v>
      </c>
      <c r="F7" s="289">
        <v>0</v>
      </c>
      <c r="G7" s="289">
        <v>1606000</v>
      </c>
      <c r="H7" s="289" t="s">
        <v>207</v>
      </c>
      <c r="I7" s="289" t="s">
        <v>479</v>
      </c>
      <c r="J7" s="289" t="s">
        <v>245</v>
      </c>
      <c r="K7" s="289" t="s">
        <v>480</v>
      </c>
      <c r="L7" s="289" t="s">
        <v>372</v>
      </c>
      <c r="M7" s="289">
        <v>3959700</v>
      </c>
      <c r="N7" s="289" t="s">
        <v>386</v>
      </c>
      <c r="O7" s="289">
        <v>835120</v>
      </c>
      <c r="P7" s="289">
        <v>0</v>
      </c>
      <c r="Q7" s="183">
        <v>0</v>
      </c>
      <c r="R7" s="289">
        <v>770880</v>
      </c>
      <c r="S7" s="183">
        <v>0</v>
      </c>
      <c r="T7" s="289" t="s">
        <v>285</v>
      </c>
      <c r="U7" s="289">
        <v>2</v>
      </c>
      <c r="V7" s="289">
        <v>1</v>
      </c>
      <c r="W7" s="289">
        <v>6</v>
      </c>
      <c r="X7" s="289" t="s">
        <v>387</v>
      </c>
      <c r="Y7" s="289">
        <v>1</v>
      </c>
      <c r="Z7" s="289">
        <v>1</v>
      </c>
      <c r="AA7" s="289">
        <v>2</v>
      </c>
      <c r="AB7" s="289" t="s">
        <v>375</v>
      </c>
      <c r="AC7" s="289">
        <v>15509001575</v>
      </c>
      <c r="AD7" s="289" t="s">
        <v>376</v>
      </c>
      <c r="AE7" s="289"/>
      <c r="AF7"/>
      <c r="AG7"/>
      <c r="AH7"/>
    </row>
    <row r="8" spans="1:34" x14ac:dyDescent="0.35">
      <c r="A8" s="289" t="s">
        <v>388</v>
      </c>
      <c r="B8" s="289" t="s">
        <v>181</v>
      </c>
      <c r="C8" s="289" t="s">
        <v>319</v>
      </c>
      <c r="D8" s="289">
        <v>8</v>
      </c>
      <c r="E8" s="289">
        <v>1000000</v>
      </c>
      <c r="F8" s="289">
        <v>36500</v>
      </c>
      <c r="G8" s="289">
        <v>963500</v>
      </c>
      <c r="H8" s="289" t="s">
        <v>217</v>
      </c>
      <c r="I8" s="289" t="s">
        <v>481</v>
      </c>
      <c r="J8" s="289" t="s">
        <v>254</v>
      </c>
      <c r="K8" s="289" t="s">
        <v>482</v>
      </c>
      <c r="L8" s="289" t="s">
        <v>372</v>
      </c>
      <c r="M8" s="289">
        <v>4196300</v>
      </c>
      <c r="N8" s="289" t="s">
        <v>381</v>
      </c>
      <c r="O8" s="289">
        <v>963500</v>
      </c>
      <c r="P8" s="289">
        <v>0</v>
      </c>
      <c r="Q8" s="183">
        <v>0</v>
      </c>
      <c r="R8" s="289">
        <v>0</v>
      </c>
      <c r="S8" s="183">
        <v>0</v>
      </c>
      <c r="T8" s="289" t="s">
        <v>295</v>
      </c>
      <c r="U8" s="289">
        <v>2</v>
      </c>
      <c r="V8" s="289">
        <v>2</v>
      </c>
      <c r="W8" s="289">
        <v>2</v>
      </c>
      <c r="X8" s="289" t="s">
        <v>389</v>
      </c>
      <c r="Y8" s="289">
        <v>1</v>
      </c>
      <c r="Z8" s="289">
        <v>1</v>
      </c>
      <c r="AA8" s="289">
        <v>1</v>
      </c>
      <c r="AB8" s="289" t="s">
        <v>375</v>
      </c>
      <c r="AC8" s="289">
        <v>1610905992</v>
      </c>
      <c r="AD8" s="289" t="s">
        <v>376</v>
      </c>
      <c r="AE8" s="289"/>
      <c r="AF8"/>
      <c r="AG8"/>
      <c r="AH8"/>
    </row>
    <row r="9" spans="1:34" x14ac:dyDescent="0.35">
      <c r="A9" s="289" t="s">
        <v>390</v>
      </c>
      <c r="B9" s="289" t="s">
        <v>174</v>
      </c>
      <c r="C9" s="289" t="s">
        <v>175</v>
      </c>
      <c r="D9" s="289">
        <v>9</v>
      </c>
      <c r="E9" s="289">
        <v>1626000</v>
      </c>
      <c r="F9" s="289">
        <v>17073</v>
      </c>
      <c r="G9" s="289">
        <v>1608927</v>
      </c>
      <c r="H9" s="289" t="s">
        <v>200</v>
      </c>
      <c r="I9" s="289" t="s">
        <v>483</v>
      </c>
      <c r="J9" s="289" t="s">
        <v>238</v>
      </c>
      <c r="K9" s="289" t="s">
        <v>484</v>
      </c>
      <c r="L9" s="289" t="s">
        <v>372</v>
      </c>
      <c r="M9" s="289">
        <v>4658300</v>
      </c>
      <c r="N9" s="289" t="s">
        <v>386</v>
      </c>
      <c r="O9" s="289">
        <v>659660</v>
      </c>
      <c r="P9" s="289">
        <v>0</v>
      </c>
      <c r="Q9" s="183">
        <v>0</v>
      </c>
      <c r="R9" s="289">
        <v>949267</v>
      </c>
      <c r="S9" s="183">
        <v>0</v>
      </c>
      <c r="T9" s="289" t="s">
        <v>278</v>
      </c>
      <c r="U9" s="289">
        <v>2</v>
      </c>
      <c r="V9" s="289">
        <v>1</v>
      </c>
      <c r="W9" s="289">
        <v>10</v>
      </c>
      <c r="X9" s="289" t="s">
        <v>391</v>
      </c>
      <c r="Y9" s="289">
        <v>1</v>
      </c>
      <c r="Z9" s="289">
        <v>1</v>
      </c>
      <c r="AA9" s="289">
        <v>2</v>
      </c>
      <c r="AB9" s="289" t="s">
        <v>375</v>
      </c>
      <c r="AC9" s="289">
        <v>1610905249</v>
      </c>
      <c r="AD9" s="289" t="s">
        <v>376</v>
      </c>
      <c r="AE9" s="289">
        <v>66618</v>
      </c>
      <c r="AF9"/>
      <c r="AG9"/>
      <c r="AH9"/>
    </row>
    <row r="10" spans="1:34" x14ac:dyDescent="0.35">
      <c r="A10" s="289" t="s">
        <v>392</v>
      </c>
      <c r="B10" s="289" t="s">
        <v>174</v>
      </c>
      <c r="C10" s="289" t="s">
        <v>175</v>
      </c>
      <c r="D10" s="289">
        <v>9</v>
      </c>
      <c r="E10" s="289">
        <v>1626000</v>
      </c>
      <c r="F10" s="289">
        <v>5691</v>
      </c>
      <c r="G10" s="289">
        <v>1620309</v>
      </c>
      <c r="H10" s="289" t="s">
        <v>191</v>
      </c>
      <c r="I10" s="289" t="s">
        <v>485</v>
      </c>
      <c r="J10" s="289" t="s">
        <v>230</v>
      </c>
      <c r="K10" s="289" t="s">
        <v>486</v>
      </c>
      <c r="L10" s="289" t="s">
        <v>372</v>
      </c>
      <c r="M10" s="289">
        <v>5080700</v>
      </c>
      <c r="N10" s="289" t="s">
        <v>386</v>
      </c>
      <c r="O10" s="289">
        <v>664327</v>
      </c>
      <c r="P10" s="289">
        <v>0</v>
      </c>
      <c r="Q10" s="183">
        <v>0</v>
      </c>
      <c r="R10" s="289">
        <v>955982</v>
      </c>
      <c r="S10" s="183">
        <v>0</v>
      </c>
      <c r="T10" s="289" t="s">
        <v>269</v>
      </c>
      <c r="U10" s="289">
        <v>2</v>
      </c>
      <c r="V10" s="289">
        <v>1</v>
      </c>
      <c r="W10" s="289">
        <v>16</v>
      </c>
      <c r="X10" s="289" t="s">
        <v>393</v>
      </c>
      <c r="Y10" s="289">
        <v>1</v>
      </c>
      <c r="Z10" s="289">
        <v>1</v>
      </c>
      <c r="AA10" s="289">
        <v>2</v>
      </c>
      <c r="AB10" s="289" t="s">
        <v>375</v>
      </c>
      <c r="AC10" s="289">
        <v>1610105556</v>
      </c>
      <c r="AD10" s="289" t="s">
        <v>376</v>
      </c>
      <c r="AE10" s="289">
        <v>76207</v>
      </c>
      <c r="AF10"/>
      <c r="AG10"/>
      <c r="AH10"/>
    </row>
    <row r="11" spans="1:34" x14ac:dyDescent="0.35">
      <c r="A11" s="289" t="s">
        <v>394</v>
      </c>
      <c r="B11" s="289" t="s">
        <v>174</v>
      </c>
      <c r="C11" s="289" t="s">
        <v>175</v>
      </c>
      <c r="D11" s="289">
        <v>9</v>
      </c>
      <c r="E11" s="289">
        <v>1626000</v>
      </c>
      <c r="F11" s="289">
        <v>0</v>
      </c>
      <c r="G11" s="289">
        <v>1626000</v>
      </c>
      <c r="H11" s="289" t="s">
        <v>205</v>
      </c>
      <c r="I11" s="289" t="s">
        <v>487</v>
      </c>
      <c r="J11" s="289" t="s">
        <v>243</v>
      </c>
      <c r="K11" s="289" t="s">
        <v>488</v>
      </c>
      <c r="L11" s="289" t="s">
        <v>372</v>
      </c>
      <c r="M11" s="289">
        <v>4658300</v>
      </c>
      <c r="N11" s="289" t="s">
        <v>386</v>
      </c>
      <c r="O11" s="289">
        <v>666660</v>
      </c>
      <c r="P11" s="289">
        <v>0</v>
      </c>
      <c r="Q11" s="183">
        <v>0</v>
      </c>
      <c r="R11" s="289">
        <v>959340</v>
      </c>
      <c r="S11" s="183">
        <v>0</v>
      </c>
      <c r="T11" s="289" t="s">
        <v>283</v>
      </c>
      <c r="U11" s="289">
        <v>2</v>
      </c>
      <c r="V11" s="289">
        <v>1</v>
      </c>
      <c r="W11" s="289">
        <v>12</v>
      </c>
      <c r="X11" s="289" t="s">
        <v>395</v>
      </c>
      <c r="Y11" s="289">
        <v>1</v>
      </c>
      <c r="Z11" s="289">
        <v>1</v>
      </c>
      <c r="AA11" s="289">
        <v>2</v>
      </c>
      <c r="AB11" s="289" t="s">
        <v>375</v>
      </c>
      <c r="AC11" s="289">
        <v>1610107829</v>
      </c>
      <c r="AD11" s="289" t="s">
        <v>376</v>
      </c>
      <c r="AE11" s="289">
        <v>67405</v>
      </c>
      <c r="AF11"/>
      <c r="AG11"/>
      <c r="AH11"/>
    </row>
    <row r="12" spans="1:34" x14ac:dyDescent="0.35">
      <c r="A12" s="289" t="s">
        <v>396</v>
      </c>
      <c r="B12" s="289" t="s">
        <v>176</v>
      </c>
      <c r="C12" s="289" t="s">
        <v>177</v>
      </c>
      <c r="D12" s="289">
        <v>11</v>
      </c>
      <c r="E12" s="289">
        <v>1842000</v>
      </c>
      <c r="F12" s="289">
        <v>128019</v>
      </c>
      <c r="G12" s="289">
        <v>1713981</v>
      </c>
      <c r="H12" s="289" t="s">
        <v>198</v>
      </c>
      <c r="I12" s="289" t="s">
        <v>489</v>
      </c>
      <c r="J12" s="289" t="s">
        <v>236</v>
      </c>
      <c r="K12" s="289" t="s">
        <v>490</v>
      </c>
      <c r="L12" s="289" t="s">
        <v>372</v>
      </c>
      <c r="M12" s="289">
        <v>5343700</v>
      </c>
      <c r="N12" s="289" t="s">
        <v>386</v>
      </c>
      <c r="O12" s="289">
        <v>531334</v>
      </c>
      <c r="P12" s="289">
        <v>0</v>
      </c>
      <c r="Q12" s="183">
        <v>0</v>
      </c>
      <c r="R12" s="289">
        <v>1182647</v>
      </c>
      <c r="S12" s="183">
        <v>0</v>
      </c>
      <c r="T12" s="289" t="s">
        <v>276</v>
      </c>
      <c r="U12" s="289">
        <v>2</v>
      </c>
      <c r="V12" s="289">
        <v>1</v>
      </c>
      <c r="W12" s="289">
        <v>17</v>
      </c>
      <c r="X12" s="289" t="s">
        <v>397</v>
      </c>
      <c r="Y12" s="289">
        <v>1</v>
      </c>
      <c r="Z12" s="289">
        <v>1</v>
      </c>
      <c r="AA12" s="289">
        <v>2</v>
      </c>
      <c r="AB12" s="289" t="s">
        <v>375</v>
      </c>
      <c r="AC12" s="289">
        <v>1610906028</v>
      </c>
      <c r="AD12" s="289" t="s">
        <v>376</v>
      </c>
      <c r="AE12" s="289">
        <v>76207</v>
      </c>
      <c r="AF12"/>
      <c r="AG12"/>
      <c r="AH12"/>
    </row>
    <row r="13" spans="1:34" x14ac:dyDescent="0.35">
      <c r="A13" s="289" t="s">
        <v>398</v>
      </c>
      <c r="B13" s="289" t="s">
        <v>174</v>
      </c>
      <c r="C13" s="289" t="s">
        <v>175</v>
      </c>
      <c r="D13" s="289">
        <v>9</v>
      </c>
      <c r="E13" s="289">
        <v>1626000</v>
      </c>
      <c r="F13" s="289">
        <v>0</v>
      </c>
      <c r="G13" s="289">
        <v>1626000</v>
      </c>
      <c r="H13" s="289" t="s">
        <v>203</v>
      </c>
      <c r="I13" s="289" t="s">
        <v>491</v>
      </c>
      <c r="J13" s="289" t="s">
        <v>241</v>
      </c>
      <c r="K13" s="289" t="s">
        <v>492</v>
      </c>
      <c r="L13" s="289" t="s">
        <v>372</v>
      </c>
      <c r="M13" s="289">
        <v>4716400</v>
      </c>
      <c r="N13" s="289" t="s">
        <v>373</v>
      </c>
      <c r="O13" s="289">
        <v>666660</v>
      </c>
      <c r="P13" s="289">
        <v>0</v>
      </c>
      <c r="Q13" s="183">
        <v>0</v>
      </c>
      <c r="R13" s="289">
        <v>959340</v>
      </c>
      <c r="S13" s="183">
        <v>0</v>
      </c>
      <c r="T13" s="289" t="s">
        <v>281</v>
      </c>
      <c r="U13" s="289">
        <v>2</v>
      </c>
      <c r="V13" s="289">
        <v>1</v>
      </c>
      <c r="W13" s="289">
        <v>14</v>
      </c>
      <c r="X13" s="289" t="s">
        <v>399</v>
      </c>
      <c r="Y13" s="289">
        <v>1</v>
      </c>
      <c r="Z13" s="289">
        <v>1</v>
      </c>
      <c r="AA13" s="289">
        <v>1</v>
      </c>
      <c r="AB13" s="289" t="s">
        <v>375</v>
      </c>
      <c r="AC13" s="289">
        <v>1610106971</v>
      </c>
      <c r="AD13" s="289" t="s">
        <v>376</v>
      </c>
      <c r="AE13" s="289">
        <v>68716</v>
      </c>
      <c r="AF13"/>
      <c r="AG13"/>
      <c r="AH13"/>
    </row>
    <row r="14" spans="1:34" x14ac:dyDescent="0.35">
      <c r="A14" s="289" t="s">
        <v>400</v>
      </c>
      <c r="B14" s="289" t="s">
        <v>176</v>
      </c>
      <c r="C14" s="289" t="s">
        <v>177</v>
      </c>
      <c r="D14" s="289">
        <v>11</v>
      </c>
      <c r="E14" s="289">
        <v>1842000</v>
      </c>
      <c r="F14" s="289">
        <v>0</v>
      </c>
      <c r="G14" s="289">
        <v>1842000</v>
      </c>
      <c r="H14" s="289" t="s">
        <v>194</v>
      </c>
      <c r="I14" s="289" t="s">
        <v>493</v>
      </c>
      <c r="J14" s="289" t="s">
        <v>318</v>
      </c>
      <c r="K14" s="289" t="s">
        <v>494</v>
      </c>
      <c r="L14" s="289" t="s">
        <v>372</v>
      </c>
      <c r="M14" s="289">
        <v>5343700</v>
      </c>
      <c r="N14" s="289" t="s">
        <v>386</v>
      </c>
      <c r="O14" s="289">
        <v>571020</v>
      </c>
      <c r="P14" s="289">
        <v>0</v>
      </c>
      <c r="Q14" s="183">
        <v>0</v>
      </c>
      <c r="R14" s="289">
        <v>1270980</v>
      </c>
      <c r="S14" s="183">
        <v>0</v>
      </c>
      <c r="T14" s="289" t="s">
        <v>272</v>
      </c>
      <c r="U14" s="289">
        <v>2</v>
      </c>
      <c r="V14" s="289">
        <v>1</v>
      </c>
      <c r="W14" s="289">
        <v>17</v>
      </c>
      <c r="X14" s="289" t="s">
        <v>401</v>
      </c>
      <c r="Y14" s="289">
        <v>1</v>
      </c>
      <c r="Z14" s="289">
        <v>1</v>
      </c>
      <c r="AA14" s="289">
        <v>2</v>
      </c>
      <c r="AB14" s="289" t="s">
        <v>375</v>
      </c>
      <c r="AC14" s="289">
        <v>1610106580</v>
      </c>
      <c r="AD14" s="289" t="s">
        <v>376</v>
      </c>
      <c r="AE14" s="289">
        <v>76207</v>
      </c>
      <c r="AF14"/>
      <c r="AG14"/>
      <c r="AH14"/>
    </row>
    <row r="15" spans="1:34" x14ac:dyDescent="0.35">
      <c r="A15" s="289" t="s">
        <v>402</v>
      </c>
      <c r="B15" s="289" t="s">
        <v>174</v>
      </c>
      <c r="C15" s="289" t="s">
        <v>403</v>
      </c>
      <c r="D15" s="289">
        <v>8</v>
      </c>
      <c r="E15" s="289">
        <v>4743000</v>
      </c>
      <c r="F15" s="289">
        <v>0</v>
      </c>
      <c r="G15" s="289">
        <v>4743000</v>
      </c>
      <c r="H15" s="289" t="s">
        <v>208</v>
      </c>
      <c r="I15" s="289" t="s">
        <v>495</v>
      </c>
      <c r="J15" s="289" t="s">
        <v>468</v>
      </c>
      <c r="K15" s="289" t="s">
        <v>496</v>
      </c>
      <c r="L15" s="289" t="s">
        <v>469</v>
      </c>
      <c r="M15" s="289">
        <v>5821400</v>
      </c>
      <c r="N15" s="289" t="s">
        <v>386</v>
      </c>
      <c r="O15" s="289">
        <v>3984120</v>
      </c>
      <c r="P15" s="289">
        <v>0</v>
      </c>
      <c r="Q15" s="183">
        <v>0</v>
      </c>
      <c r="R15" s="289">
        <v>758880</v>
      </c>
      <c r="S15" s="183">
        <v>0</v>
      </c>
      <c r="T15" s="289" t="s">
        <v>286</v>
      </c>
      <c r="U15" s="289">
        <v>2</v>
      </c>
      <c r="V15" s="289">
        <v>1</v>
      </c>
      <c r="W15" s="289">
        <v>18</v>
      </c>
      <c r="X15" s="289" t="s">
        <v>404</v>
      </c>
      <c r="Y15" s="289">
        <v>1</v>
      </c>
      <c r="Z15" s="289">
        <v>1</v>
      </c>
      <c r="AA15" s="289">
        <v>2</v>
      </c>
      <c r="AB15" s="289" t="s">
        <v>375</v>
      </c>
      <c r="AC15" s="289">
        <v>1440105481</v>
      </c>
      <c r="AD15" s="289" t="s">
        <v>376</v>
      </c>
      <c r="AE15" s="289"/>
      <c r="AF15"/>
      <c r="AG15"/>
      <c r="AH15"/>
    </row>
    <row r="16" spans="1:34" x14ac:dyDescent="0.35">
      <c r="A16" s="289" t="s">
        <v>405</v>
      </c>
      <c r="B16" s="289" t="s">
        <v>179</v>
      </c>
      <c r="C16" s="289" t="s">
        <v>180</v>
      </c>
      <c r="D16" s="289">
        <v>8</v>
      </c>
      <c r="E16" s="289">
        <v>1606000</v>
      </c>
      <c r="F16" s="289">
        <v>0</v>
      </c>
      <c r="G16" s="289">
        <v>1606000</v>
      </c>
      <c r="H16" s="289" t="s">
        <v>193</v>
      </c>
      <c r="I16" s="289" t="s">
        <v>497</v>
      </c>
      <c r="J16" s="289" t="s">
        <v>232</v>
      </c>
      <c r="K16" s="289" t="s">
        <v>498</v>
      </c>
      <c r="L16" s="289" t="s">
        <v>372</v>
      </c>
      <c r="M16" s="289">
        <v>3934500</v>
      </c>
      <c r="N16" s="289" t="s">
        <v>378</v>
      </c>
      <c r="O16" s="289">
        <v>835120</v>
      </c>
      <c r="P16" s="289">
        <v>0</v>
      </c>
      <c r="Q16" s="183">
        <v>0</v>
      </c>
      <c r="R16" s="289">
        <v>770880</v>
      </c>
      <c r="S16" s="183">
        <v>0</v>
      </c>
      <c r="T16" s="289" t="s">
        <v>271</v>
      </c>
      <c r="U16" s="289">
        <v>2</v>
      </c>
      <c r="V16" s="289">
        <v>1</v>
      </c>
      <c r="W16" s="289">
        <v>14</v>
      </c>
      <c r="X16" s="289" t="s">
        <v>406</v>
      </c>
      <c r="Y16" s="289">
        <v>2</v>
      </c>
      <c r="Z16" s="289">
        <v>0</v>
      </c>
      <c r="AA16" s="289">
        <v>0</v>
      </c>
      <c r="AB16" s="289" t="s">
        <v>375</v>
      </c>
      <c r="AC16" s="289">
        <v>1460107125</v>
      </c>
      <c r="AD16" s="289" t="s">
        <v>376</v>
      </c>
      <c r="AE16" s="289"/>
      <c r="AF16"/>
      <c r="AG16"/>
      <c r="AH16"/>
    </row>
    <row r="17" spans="1:34" x14ac:dyDescent="0.35">
      <c r="A17" s="289" t="s">
        <v>407</v>
      </c>
      <c r="B17" s="289" t="s">
        <v>181</v>
      </c>
      <c r="C17" s="289" t="s">
        <v>319</v>
      </c>
      <c r="D17" s="289">
        <v>8</v>
      </c>
      <c r="E17" s="289">
        <v>1000000</v>
      </c>
      <c r="F17" s="289">
        <v>0</v>
      </c>
      <c r="G17" s="289">
        <v>1000000</v>
      </c>
      <c r="H17" s="289" t="s">
        <v>212</v>
      </c>
      <c r="I17" s="289" t="s">
        <v>499</v>
      </c>
      <c r="J17" s="289" t="s">
        <v>249</v>
      </c>
      <c r="K17" s="289" t="s">
        <v>500</v>
      </c>
      <c r="L17" s="289" t="s">
        <v>372</v>
      </c>
      <c r="M17" s="289">
        <v>3560200</v>
      </c>
      <c r="N17" s="289" t="s">
        <v>378</v>
      </c>
      <c r="O17" s="289">
        <v>1000000</v>
      </c>
      <c r="P17" s="289">
        <v>0</v>
      </c>
      <c r="Q17" s="183">
        <v>0</v>
      </c>
      <c r="R17" s="289">
        <v>0</v>
      </c>
      <c r="S17" s="183">
        <v>0</v>
      </c>
      <c r="T17" s="289" t="s">
        <v>290</v>
      </c>
      <c r="U17" s="289">
        <v>2</v>
      </c>
      <c r="V17" s="289">
        <v>2</v>
      </c>
      <c r="W17" s="289">
        <v>2</v>
      </c>
      <c r="X17" s="289" t="s">
        <v>408</v>
      </c>
      <c r="Y17" s="289">
        <v>2</v>
      </c>
      <c r="Z17" s="289">
        <v>0</v>
      </c>
      <c r="AA17" s="289">
        <v>0</v>
      </c>
      <c r="AB17" s="289" t="s">
        <v>375</v>
      </c>
      <c r="AC17" s="289">
        <v>16109000456</v>
      </c>
      <c r="AD17" s="289" t="s">
        <v>376</v>
      </c>
      <c r="AE17" s="289"/>
      <c r="AF17"/>
      <c r="AG17"/>
      <c r="AH17"/>
    </row>
    <row r="18" spans="1:34" x14ac:dyDescent="0.35">
      <c r="A18" s="289" t="s">
        <v>409</v>
      </c>
      <c r="B18" s="289" t="s">
        <v>176</v>
      </c>
      <c r="C18" s="289" t="s">
        <v>177</v>
      </c>
      <c r="D18" s="289">
        <v>11</v>
      </c>
      <c r="E18" s="289">
        <v>1842000</v>
      </c>
      <c r="F18" s="289">
        <v>0</v>
      </c>
      <c r="G18" s="289">
        <v>1842000</v>
      </c>
      <c r="H18" s="289" t="s">
        <v>192</v>
      </c>
      <c r="I18" s="289" t="s">
        <v>501</v>
      </c>
      <c r="J18" s="289" t="s">
        <v>231</v>
      </c>
      <c r="K18" s="289" t="s">
        <v>502</v>
      </c>
      <c r="L18" s="289" t="s">
        <v>372</v>
      </c>
      <c r="M18" s="289">
        <v>5499700</v>
      </c>
      <c r="N18" s="289" t="s">
        <v>386</v>
      </c>
      <c r="O18" s="289">
        <v>571020</v>
      </c>
      <c r="P18" s="289">
        <v>0</v>
      </c>
      <c r="Q18" s="183">
        <v>0</v>
      </c>
      <c r="R18" s="289">
        <v>1270980</v>
      </c>
      <c r="S18" s="183">
        <v>0</v>
      </c>
      <c r="T18" s="289" t="s">
        <v>270</v>
      </c>
      <c r="U18" s="289">
        <v>2</v>
      </c>
      <c r="V18" s="289">
        <v>1</v>
      </c>
      <c r="W18" s="289">
        <v>20</v>
      </c>
      <c r="X18" s="289" t="s">
        <v>410</v>
      </c>
      <c r="Y18" s="289">
        <v>1</v>
      </c>
      <c r="Z18" s="289">
        <v>1</v>
      </c>
      <c r="AA18" s="289">
        <v>2</v>
      </c>
      <c r="AB18" s="289" t="s">
        <v>375</v>
      </c>
      <c r="AC18" s="289">
        <v>1900900969</v>
      </c>
      <c r="AD18" s="289" t="s">
        <v>376</v>
      </c>
      <c r="AE18" s="289">
        <v>78605</v>
      </c>
      <c r="AF18"/>
      <c r="AG18"/>
      <c r="AH18"/>
    </row>
    <row r="19" spans="1:34" x14ac:dyDescent="0.35">
      <c r="A19" s="289" t="s">
        <v>411</v>
      </c>
      <c r="B19" s="289" t="s">
        <v>181</v>
      </c>
      <c r="C19" s="289" t="s">
        <v>319</v>
      </c>
      <c r="D19" s="289">
        <v>8</v>
      </c>
      <c r="E19" s="289">
        <v>1000000</v>
      </c>
      <c r="F19" s="289">
        <v>18000</v>
      </c>
      <c r="G19" s="289">
        <v>982000</v>
      </c>
      <c r="H19" s="289" t="s">
        <v>213</v>
      </c>
      <c r="I19" s="289" t="s">
        <v>503</v>
      </c>
      <c r="J19" s="289" t="s">
        <v>250</v>
      </c>
      <c r="K19" s="289" t="s">
        <v>504</v>
      </c>
      <c r="L19" s="289" t="s">
        <v>372</v>
      </c>
      <c r="M19" s="289">
        <v>4334000</v>
      </c>
      <c r="N19" s="289" t="s">
        <v>381</v>
      </c>
      <c r="O19" s="289">
        <v>982000</v>
      </c>
      <c r="P19" s="289">
        <v>0</v>
      </c>
      <c r="Q19" s="183">
        <v>0</v>
      </c>
      <c r="R19" s="289">
        <v>0</v>
      </c>
      <c r="S19" s="183">
        <v>0</v>
      </c>
      <c r="T19" s="289" t="s">
        <v>291</v>
      </c>
      <c r="U19" s="289">
        <v>2</v>
      </c>
      <c r="V19" s="289">
        <v>2</v>
      </c>
      <c r="W19" s="289">
        <v>2</v>
      </c>
      <c r="X19" s="289" t="s">
        <v>412</v>
      </c>
      <c r="Y19" s="289">
        <v>1</v>
      </c>
      <c r="Z19" s="289">
        <v>1</v>
      </c>
      <c r="AA19" s="289">
        <v>2</v>
      </c>
      <c r="AB19" s="289" t="s">
        <v>375</v>
      </c>
      <c r="AC19" s="289">
        <v>1610906064</v>
      </c>
      <c r="AD19" s="289" t="s">
        <v>376</v>
      </c>
      <c r="AE19" s="289"/>
      <c r="AF19"/>
      <c r="AG19"/>
      <c r="AH19"/>
    </row>
    <row r="20" spans="1:34" x14ac:dyDescent="0.35">
      <c r="A20" s="289" t="s">
        <v>413</v>
      </c>
      <c r="B20" s="289" t="s">
        <v>181</v>
      </c>
      <c r="C20" s="289" t="s">
        <v>319</v>
      </c>
      <c r="D20" s="289">
        <v>8</v>
      </c>
      <c r="E20" s="289">
        <v>1000000</v>
      </c>
      <c r="F20" s="289">
        <v>0</v>
      </c>
      <c r="G20" s="289">
        <v>1000000</v>
      </c>
      <c r="H20" s="289" t="s">
        <v>219</v>
      </c>
      <c r="I20" s="289" t="s">
        <v>505</v>
      </c>
      <c r="J20" s="289" t="s">
        <v>256</v>
      </c>
      <c r="K20" s="289" t="s">
        <v>506</v>
      </c>
      <c r="L20" s="289" t="s">
        <v>372</v>
      </c>
      <c r="M20" s="289">
        <v>3560200</v>
      </c>
      <c r="N20" s="289" t="s">
        <v>378</v>
      </c>
      <c r="O20" s="289">
        <v>1000000</v>
      </c>
      <c r="P20" s="289">
        <v>0</v>
      </c>
      <c r="Q20" s="183">
        <v>0</v>
      </c>
      <c r="R20" s="289">
        <v>0</v>
      </c>
      <c r="S20" s="183">
        <v>0</v>
      </c>
      <c r="T20" s="289" t="s">
        <v>297</v>
      </c>
      <c r="U20" s="289">
        <v>2</v>
      </c>
      <c r="V20" s="289">
        <v>2</v>
      </c>
      <c r="W20" s="289">
        <v>0</v>
      </c>
      <c r="X20" s="289" t="s">
        <v>414</v>
      </c>
      <c r="Y20" s="289">
        <v>2</v>
      </c>
      <c r="Z20" s="289">
        <v>0</v>
      </c>
      <c r="AA20" s="289">
        <v>0</v>
      </c>
      <c r="AB20" s="289" t="s">
        <v>375</v>
      </c>
      <c r="AC20" s="289">
        <v>16109000347</v>
      </c>
      <c r="AD20" s="289" t="s">
        <v>376</v>
      </c>
      <c r="AE20" s="289"/>
      <c r="AF20"/>
      <c r="AG20"/>
      <c r="AH20"/>
    </row>
    <row r="21" spans="1:34" x14ac:dyDescent="0.35">
      <c r="A21" s="289" t="s">
        <v>415</v>
      </c>
      <c r="B21" s="289" t="s">
        <v>174</v>
      </c>
      <c r="C21" s="289" t="s">
        <v>175</v>
      </c>
      <c r="D21" s="289">
        <v>9</v>
      </c>
      <c r="E21" s="289">
        <v>1626000</v>
      </c>
      <c r="F21" s="289">
        <v>11382</v>
      </c>
      <c r="G21" s="289">
        <v>1614618</v>
      </c>
      <c r="H21" s="289" t="s">
        <v>197</v>
      </c>
      <c r="I21" s="289" t="s">
        <v>507</v>
      </c>
      <c r="J21" s="289" t="s">
        <v>235</v>
      </c>
      <c r="K21" s="289" t="s">
        <v>508</v>
      </c>
      <c r="L21" s="289" t="s">
        <v>372</v>
      </c>
      <c r="M21" s="289">
        <v>4773800</v>
      </c>
      <c r="N21" s="289" t="s">
        <v>381</v>
      </c>
      <c r="O21" s="289">
        <v>661993</v>
      </c>
      <c r="P21" s="289">
        <v>0</v>
      </c>
      <c r="Q21" s="183">
        <v>0</v>
      </c>
      <c r="R21" s="289">
        <v>952625</v>
      </c>
      <c r="S21" s="183">
        <v>0</v>
      </c>
      <c r="T21" s="289" t="s">
        <v>275</v>
      </c>
      <c r="U21" s="289">
        <v>2</v>
      </c>
      <c r="V21" s="289">
        <v>1</v>
      </c>
      <c r="W21" s="289">
        <v>16</v>
      </c>
      <c r="X21" s="289" t="s">
        <v>416</v>
      </c>
      <c r="Y21" s="289">
        <v>1</v>
      </c>
      <c r="Z21" s="289">
        <v>1</v>
      </c>
      <c r="AA21" s="289">
        <v>0</v>
      </c>
      <c r="AB21" s="289" t="s">
        <v>375</v>
      </c>
      <c r="AC21" s="289">
        <v>1610901678</v>
      </c>
      <c r="AD21" s="289" t="s">
        <v>376</v>
      </c>
      <c r="AE21" s="289">
        <v>73880</v>
      </c>
      <c r="AF21"/>
      <c r="AG21"/>
      <c r="AH21"/>
    </row>
    <row r="22" spans="1:34" x14ac:dyDescent="0.35">
      <c r="A22" s="289" t="s">
        <v>417</v>
      </c>
      <c r="B22" s="289" t="s">
        <v>174</v>
      </c>
      <c r="C22" s="289" t="s">
        <v>175</v>
      </c>
      <c r="D22" s="289">
        <v>9</v>
      </c>
      <c r="E22" s="289">
        <v>1626000</v>
      </c>
      <c r="F22" s="289">
        <v>0</v>
      </c>
      <c r="G22" s="289">
        <v>1626000</v>
      </c>
      <c r="H22" s="289" t="s">
        <v>206</v>
      </c>
      <c r="I22" s="289" t="s">
        <v>509</v>
      </c>
      <c r="J22" s="289" t="s">
        <v>244</v>
      </c>
      <c r="K22" s="289" t="s">
        <v>510</v>
      </c>
      <c r="L22" s="289" t="s">
        <v>372</v>
      </c>
      <c r="M22" s="289">
        <v>4658300</v>
      </c>
      <c r="N22" s="289" t="s">
        <v>386</v>
      </c>
      <c r="O22" s="289">
        <v>666660</v>
      </c>
      <c r="P22" s="289">
        <v>0</v>
      </c>
      <c r="Q22" s="183">
        <v>0</v>
      </c>
      <c r="R22" s="289">
        <v>959340</v>
      </c>
      <c r="S22" s="183">
        <v>0</v>
      </c>
      <c r="T22" s="289" t="s">
        <v>284</v>
      </c>
      <c r="U22" s="289">
        <v>2</v>
      </c>
      <c r="V22" s="289">
        <v>1</v>
      </c>
      <c r="W22" s="289">
        <v>12</v>
      </c>
      <c r="X22" s="289" t="s">
        <v>418</v>
      </c>
      <c r="Y22" s="289">
        <v>1</v>
      </c>
      <c r="Z22" s="289">
        <v>1</v>
      </c>
      <c r="AA22" s="289">
        <v>2</v>
      </c>
      <c r="AB22" s="289" t="s">
        <v>375</v>
      </c>
      <c r="AC22" s="289">
        <v>1610904070</v>
      </c>
      <c r="AD22" s="289" t="s">
        <v>376</v>
      </c>
      <c r="AE22" s="289">
        <v>66618</v>
      </c>
      <c r="AF22"/>
      <c r="AG22"/>
      <c r="AH22"/>
    </row>
    <row r="23" spans="1:34" x14ac:dyDescent="0.35">
      <c r="A23" s="289" t="s">
        <v>419</v>
      </c>
      <c r="B23" s="289" t="s">
        <v>181</v>
      </c>
      <c r="C23" s="289" t="s">
        <v>319</v>
      </c>
      <c r="D23" s="289">
        <v>8</v>
      </c>
      <c r="E23" s="289">
        <v>1000000</v>
      </c>
      <c r="F23" s="289">
        <v>3500</v>
      </c>
      <c r="G23" s="289">
        <v>996500</v>
      </c>
      <c r="H23" s="289" t="s">
        <v>211</v>
      </c>
      <c r="I23" s="289" t="s">
        <v>511</v>
      </c>
      <c r="J23" s="289" t="s">
        <v>248</v>
      </c>
      <c r="K23" s="289" t="s">
        <v>512</v>
      </c>
      <c r="L23" s="289" t="s">
        <v>372</v>
      </c>
      <c r="M23" s="289">
        <v>3659800</v>
      </c>
      <c r="N23" s="289" t="s">
        <v>378</v>
      </c>
      <c r="O23" s="289">
        <v>996500</v>
      </c>
      <c r="P23" s="289">
        <v>0</v>
      </c>
      <c r="Q23" s="183">
        <v>0</v>
      </c>
      <c r="R23" s="289">
        <v>0</v>
      </c>
      <c r="S23" s="183">
        <v>0</v>
      </c>
      <c r="T23" s="289" t="s">
        <v>289</v>
      </c>
      <c r="U23" s="289">
        <v>2</v>
      </c>
      <c r="V23" s="289">
        <v>2</v>
      </c>
      <c r="W23" s="289">
        <v>2</v>
      </c>
      <c r="X23" s="289" t="s">
        <v>420</v>
      </c>
      <c r="Y23" s="289">
        <v>2</v>
      </c>
      <c r="Z23" s="289">
        <v>0</v>
      </c>
      <c r="AA23" s="289">
        <v>0</v>
      </c>
      <c r="AB23" s="289" t="s">
        <v>375</v>
      </c>
      <c r="AC23" s="289">
        <v>1820903520</v>
      </c>
      <c r="AD23" s="289" t="s">
        <v>376</v>
      </c>
      <c r="AE23" s="289"/>
      <c r="AF23"/>
      <c r="AG23"/>
      <c r="AH23"/>
    </row>
    <row r="24" spans="1:34" x14ac:dyDescent="0.35">
      <c r="A24" s="289" t="s">
        <v>421</v>
      </c>
      <c r="B24" s="289" t="s">
        <v>174</v>
      </c>
      <c r="C24" s="289" t="s">
        <v>175</v>
      </c>
      <c r="D24" s="289">
        <v>9</v>
      </c>
      <c r="E24" s="289">
        <v>1626000</v>
      </c>
      <c r="F24" s="289">
        <v>0</v>
      </c>
      <c r="G24" s="289">
        <v>1626000</v>
      </c>
      <c r="H24" s="289" t="s">
        <v>196</v>
      </c>
      <c r="I24" s="289" t="s">
        <v>513</v>
      </c>
      <c r="J24" s="289" t="s">
        <v>234</v>
      </c>
      <c r="K24" s="289" t="s">
        <v>514</v>
      </c>
      <c r="L24" s="289" t="s">
        <v>372</v>
      </c>
      <c r="M24" s="289">
        <v>4496900</v>
      </c>
      <c r="N24" s="289" t="s">
        <v>381</v>
      </c>
      <c r="O24" s="289">
        <v>666660</v>
      </c>
      <c r="P24" s="289">
        <v>0</v>
      </c>
      <c r="Q24" s="183">
        <v>0</v>
      </c>
      <c r="R24" s="289">
        <v>959340</v>
      </c>
      <c r="S24" s="183">
        <v>0</v>
      </c>
      <c r="T24" s="289" t="s">
        <v>274</v>
      </c>
      <c r="U24" s="289">
        <v>2</v>
      </c>
      <c r="V24" s="289">
        <v>1</v>
      </c>
      <c r="W24" s="289">
        <v>16</v>
      </c>
      <c r="X24" s="289" t="s">
        <v>422</v>
      </c>
      <c r="Y24" s="289">
        <v>1</v>
      </c>
      <c r="Z24" s="289">
        <v>0</v>
      </c>
      <c r="AA24" s="289">
        <v>0</v>
      </c>
      <c r="AB24" s="289" t="s">
        <v>375</v>
      </c>
      <c r="AC24" s="289">
        <v>1610105795</v>
      </c>
      <c r="AD24" s="289" t="s">
        <v>376</v>
      </c>
      <c r="AE24" s="289">
        <v>76207</v>
      </c>
      <c r="AF24"/>
      <c r="AG24"/>
      <c r="AH24"/>
    </row>
    <row r="25" spans="1:34" x14ac:dyDescent="0.35">
      <c r="A25" s="289" t="s">
        <v>423</v>
      </c>
      <c r="B25" s="289" t="s">
        <v>174</v>
      </c>
      <c r="C25" s="289" t="s">
        <v>175</v>
      </c>
      <c r="D25" s="289">
        <v>9</v>
      </c>
      <c r="E25" s="289">
        <v>1626000</v>
      </c>
      <c r="F25" s="289">
        <v>5691</v>
      </c>
      <c r="G25" s="289">
        <v>1620309</v>
      </c>
      <c r="H25" s="289" t="s">
        <v>182</v>
      </c>
      <c r="I25" s="289" t="s">
        <v>515</v>
      </c>
      <c r="J25" s="289" t="s">
        <v>223</v>
      </c>
      <c r="K25" s="289" t="s">
        <v>516</v>
      </c>
      <c r="L25" s="289" t="s">
        <v>372</v>
      </c>
      <c r="M25" s="289">
        <v>5614000</v>
      </c>
      <c r="N25" s="289" t="s">
        <v>373</v>
      </c>
      <c r="O25" s="289">
        <v>664327</v>
      </c>
      <c r="P25" s="289">
        <v>0</v>
      </c>
      <c r="Q25" s="183">
        <v>0</v>
      </c>
      <c r="R25" s="289">
        <v>955982</v>
      </c>
      <c r="S25" s="183">
        <v>0</v>
      </c>
      <c r="T25" s="289" t="s">
        <v>260</v>
      </c>
      <c r="U25" s="289">
        <v>2</v>
      </c>
      <c r="V25" s="289">
        <v>1</v>
      </c>
      <c r="W25" s="289">
        <v>26</v>
      </c>
      <c r="X25" s="289" t="s">
        <v>424</v>
      </c>
      <c r="Y25" s="289">
        <v>1</v>
      </c>
      <c r="Z25" s="289">
        <v>1</v>
      </c>
      <c r="AA25" s="289">
        <v>1</v>
      </c>
      <c r="AB25" s="289" t="s">
        <v>375</v>
      </c>
      <c r="AC25" s="289">
        <v>1610101008</v>
      </c>
      <c r="AD25" s="289" t="s">
        <v>376</v>
      </c>
      <c r="AE25" s="289">
        <v>86270</v>
      </c>
      <c r="AF25"/>
      <c r="AG25"/>
      <c r="AH25"/>
    </row>
    <row r="26" spans="1:34" x14ac:dyDescent="0.35">
      <c r="A26" s="289" t="s">
        <v>425</v>
      </c>
      <c r="B26" s="289" t="s">
        <v>174</v>
      </c>
      <c r="C26" s="289" t="s">
        <v>175</v>
      </c>
      <c r="D26" s="289">
        <v>9</v>
      </c>
      <c r="E26" s="289">
        <v>1626000</v>
      </c>
      <c r="F26" s="289">
        <v>0</v>
      </c>
      <c r="G26" s="289">
        <v>1626000</v>
      </c>
      <c r="H26" s="289" t="s">
        <v>204</v>
      </c>
      <c r="I26" s="289" t="s">
        <v>517</v>
      </c>
      <c r="J26" s="289" t="s">
        <v>242</v>
      </c>
      <c r="K26" s="289" t="s">
        <v>518</v>
      </c>
      <c r="L26" s="289" t="s">
        <v>372</v>
      </c>
      <c r="M26" s="289">
        <v>4506300</v>
      </c>
      <c r="N26" s="289" t="s">
        <v>381</v>
      </c>
      <c r="O26" s="289">
        <v>666660</v>
      </c>
      <c r="P26" s="289">
        <v>0</v>
      </c>
      <c r="Q26" s="183">
        <v>0</v>
      </c>
      <c r="R26" s="289">
        <v>959340</v>
      </c>
      <c r="S26" s="183">
        <v>0</v>
      </c>
      <c r="T26" s="289" t="s">
        <v>282</v>
      </c>
      <c r="U26" s="289">
        <v>2</v>
      </c>
      <c r="V26" s="289">
        <v>1</v>
      </c>
      <c r="W26" s="289">
        <v>10</v>
      </c>
      <c r="X26" s="289" t="s">
        <v>426</v>
      </c>
      <c r="Y26" s="289">
        <v>1</v>
      </c>
      <c r="Z26" s="289">
        <v>1</v>
      </c>
      <c r="AA26" s="289">
        <v>0</v>
      </c>
      <c r="AB26" s="289" t="s">
        <v>375</v>
      </c>
      <c r="AC26" s="289">
        <v>1610905245</v>
      </c>
      <c r="AD26" s="289" t="s">
        <v>376</v>
      </c>
      <c r="AE26" s="289">
        <v>66618</v>
      </c>
      <c r="AF26"/>
      <c r="AG26"/>
      <c r="AH26"/>
    </row>
    <row r="27" spans="1:34" x14ac:dyDescent="0.35">
      <c r="A27" s="289" t="s">
        <v>427</v>
      </c>
      <c r="B27" s="289" t="s">
        <v>174</v>
      </c>
      <c r="C27" s="289" t="s">
        <v>175</v>
      </c>
      <c r="D27" s="289">
        <v>9</v>
      </c>
      <c r="E27" s="289">
        <v>1626000</v>
      </c>
      <c r="F27" s="289">
        <v>0</v>
      </c>
      <c r="G27" s="289">
        <v>1626000</v>
      </c>
      <c r="H27" s="289" t="s">
        <v>199</v>
      </c>
      <c r="I27" s="289" t="s">
        <v>519</v>
      </c>
      <c r="J27" s="289" t="s">
        <v>237</v>
      </c>
      <c r="K27" s="289" t="s">
        <v>520</v>
      </c>
      <c r="L27" s="289" t="s">
        <v>372</v>
      </c>
      <c r="M27" s="289">
        <v>4935500</v>
      </c>
      <c r="N27" s="289" t="s">
        <v>386</v>
      </c>
      <c r="O27" s="289">
        <v>666660</v>
      </c>
      <c r="P27" s="289">
        <v>0</v>
      </c>
      <c r="Q27" s="183">
        <v>0</v>
      </c>
      <c r="R27" s="289">
        <v>959340</v>
      </c>
      <c r="S27" s="183">
        <v>0</v>
      </c>
      <c r="T27" s="289" t="s">
        <v>277</v>
      </c>
      <c r="U27" s="289">
        <v>2</v>
      </c>
      <c r="V27" s="289">
        <v>1</v>
      </c>
      <c r="W27" s="289">
        <v>16</v>
      </c>
      <c r="X27" s="289" t="s">
        <v>428</v>
      </c>
      <c r="Y27" s="289">
        <v>1</v>
      </c>
      <c r="Z27" s="289">
        <v>1</v>
      </c>
      <c r="AA27" s="289">
        <v>2</v>
      </c>
      <c r="AB27" s="289" t="s">
        <v>375</v>
      </c>
      <c r="AC27" s="289">
        <v>1610104975</v>
      </c>
      <c r="AD27" s="289" t="s">
        <v>376</v>
      </c>
      <c r="AE27" s="289">
        <v>73880</v>
      </c>
      <c r="AF27"/>
      <c r="AG27"/>
      <c r="AH27"/>
    </row>
    <row r="28" spans="1:34" x14ac:dyDescent="0.35">
      <c r="A28" s="289" t="s">
        <v>429</v>
      </c>
      <c r="B28" s="289" t="s">
        <v>179</v>
      </c>
      <c r="C28" s="289" t="s">
        <v>470</v>
      </c>
      <c r="D28" s="289">
        <v>7</v>
      </c>
      <c r="E28" s="289">
        <v>2667000</v>
      </c>
      <c r="F28" s="289">
        <v>0</v>
      </c>
      <c r="G28" s="289">
        <v>2667000</v>
      </c>
      <c r="H28" s="289" t="s">
        <v>189</v>
      </c>
      <c r="I28" s="289" t="s">
        <v>521</v>
      </c>
      <c r="J28" s="289" t="s">
        <v>228</v>
      </c>
      <c r="K28" s="289" t="s">
        <v>522</v>
      </c>
      <c r="L28" s="289" t="s">
        <v>372</v>
      </c>
      <c r="M28" s="289">
        <v>4352600</v>
      </c>
      <c r="N28" s="289" t="s">
        <v>373</v>
      </c>
      <c r="O28" s="289">
        <v>1973580</v>
      </c>
      <c r="P28" s="289">
        <v>0</v>
      </c>
      <c r="Q28" s="183">
        <v>0</v>
      </c>
      <c r="R28" s="289">
        <v>693420</v>
      </c>
      <c r="S28" s="183">
        <v>0</v>
      </c>
      <c r="T28" s="289" t="s">
        <v>267</v>
      </c>
      <c r="U28" s="289">
        <v>3</v>
      </c>
      <c r="V28" s="289">
        <v>1</v>
      </c>
      <c r="W28" s="289">
        <v>16</v>
      </c>
      <c r="X28" s="289" t="s">
        <v>430</v>
      </c>
      <c r="Y28" s="289">
        <v>1</v>
      </c>
      <c r="Z28" s="289">
        <v>1</v>
      </c>
      <c r="AA28" s="289">
        <v>1</v>
      </c>
      <c r="AB28" s="289" t="s">
        <v>375</v>
      </c>
      <c r="AC28" s="289">
        <v>1610103820</v>
      </c>
      <c r="AD28" s="289" t="s">
        <v>376</v>
      </c>
      <c r="AE28" s="289"/>
      <c r="AF28"/>
      <c r="AG28"/>
      <c r="AH28"/>
    </row>
    <row r="29" spans="1:34" x14ac:dyDescent="0.35">
      <c r="A29" s="289" t="s">
        <v>431</v>
      </c>
      <c r="B29" s="289" t="s">
        <v>181</v>
      </c>
      <c r="C29" s="289" t="s">
        <v>319</v>
      </c>
      <c r="D29" s="289">
        <v>8</v>
      </c>
      <c r="E29" s="289">
        <v>1000000</v>
      </c>
      <c r="F29" s="289">
        <v>0</v>
      </c>
      <c r="G29" s="289">
        <v>1000000</v>
      </c>
      <c r="H29" s="289" t="s">
        <v>210</v>
      </c>
      <c r="I29" s="289" t="s">
        <v>523</v>
      </c>
      <c r="J29" s="289" t="s">
        <v>247</v>
      </c>
      <c r="K29" s="289" t="s">
        <v>524</v>
      </c>
      <c r="L29" s="289" t="s">
        <v>372</v>
      </c>
      <c r="M29" s="289">
        <v>4220400</v>
      </c>
      <c r="N29" s="289" t="s">
        <v>381</v>
      </c>
      <c r="O29" s="289">
        <v>1000000</v>
      </c>
      <c r="P29" s="289">
        <v>0</v>
      </c>
      <c r="Q29" s="183">
        <v>0</v>
      </c>
      <c r="R29" s="289">
        <v>0</v>
      </c>
      <c r="S29" s="183">
        <v>0</v>
      </c>
      <c r="T29" s="289" t="s">
        <v>288</v>
      </c>
      <c r="U29" s="289">
        <v>2</v>
      </c>
      <c r="V29" s="289">
        <v>2</v>
      </c>
      <c r="W29" s="289">
        <v>0</v>
      </c>
      <c r="X29" s="289" t="s">
        <v>432</v>
      </c>
      <c r="Y29" s="289">
        <v>1</v>
      </c>
      <c r="Z29" s="289">
        <v>1</v>
      </c>
      <c r="AA29" s="289">
        <v>2</v>
      </c>
      <c r="AB29" s="289" t="s">
        <v>375</v>
      </c>
      <c r="AC29" s="289">
        <v>1610907514</v>
      </c>
      <c r="AD29" s="289" t="s">
        <v>376</v>
      </c>
      <c r="AE29" s="289"/>
      <c r="AF29"/>
      <c r="AG29"/>
      <c r="AH29"/>
    </row>
    <row r="30" spans="1:34" x14ac:dyDescent="0.35">
      <c r="A30" s="289" t="s">
        <v>433</v>
      </c>
      <c r="B30" s="289" t="s">
        <v>181</v>
      </c>
      <c r="C30" s="289" t="s">
        <v>319</v>
      </c>
      <c r="D30" s="289">
        <v>8</v>
      </c>
      <c r="E30" s="289">
        <v>1000000</v>
      </c>
      <c r="F30" s="289">
        <v>0</v>
      </c>
      <c r="G30" s="289">
        <v>1000000</v>
      </c>
      <c r="H30" s="289" t="s">
        <v>222</v>
      </c>
      <c r="I30" s="289" t="s">
        <v>525</v>
      </c>
      <c r="J30" s="289" t="s">
        <v>259</v>
      </c>
      <c r="K30" s="289" t="s">
        <v>526</v>
      </c>
      <c r="L30" s="289" t="s">
        <v>372</v>
      </c>
      <c r="M30" s="289">
        <v>4084700</v>
      </c>
      <c r="N30" s="289" t="s">
        <v>381</v>
      </c>
      <c r="O30" s="289">
        <v>1000000</v>
      </c>
      <c r="P30" s="289">
        <v>0</v>
      </c>
      <c r="Q30" s="183">
        <v>0</v>
      </c>
      <c r="R30" s="289">
        <v>0</v>
      </c>
      <c r="S30" s="183">
        <v>0</v>
      </c>
      <c r="T30" s="289" t="s">
        <v>300</v>
      </c>
      <c r="U30" s="289">
        <v>2</v>
      </c>
      <c r="V30" s="289">
        <v>2</v>
      </c>
      <c r="W30" s="289">
        <v>0</v>
      </c>
      <c r="X30" s="289" t="s">
        <v>434</v>
      </c>
      <c r="Y30" s="289">
        <v>2</v>
      </c>
      <c r="Z30" s="289">
        <v>0</v>
      </c>
      <c r="AA30" s="289">
        <v>0</v>
      </c>
      <c r="AB30" s="289" t="s">
        <v>375</v>
      </c>
      <c r="AC30" s="289">
        <v>1440966655</v>
      </c>
      <c r="AD30" s="289" t="s">
        <v>376</v>
      </c>
      <c r="AE30" s="289"/>
      <c r="AF30"/>
      <c r="AG30"/>
      <c r="AH30"/>
    </row>
    <row r="31" spans="1:34" x14ac:dyDescent="0.35">
      <c r="A31" s="289" t="s">
        <v>435</v>
      </c>
      <c r="B31" s="289" t="s">
        <v>174</v>
      </c>
      <c r="C31" s="289" t="s">
        <v>175</v>
      </c>
      <c r="D31" s="289">
        <v>9</v>
      </c>
      <c r="E31" s="289">
        <v>1626000</v>
      </c>
      <c r="F31" s="289">
        <v>5691</v>
      </c>
      <c r="G31" s="289">
        <v>1620309</v>
      </c>
      <c r="H31" s="289" t="s">
        <v>202</v>
      </c>
      <c r="I31" s="289" t="s">
        <v>527</v>
      </c>
      <c r="J31" s="289" t="s">
        <v>240</v>
      </c>
      <c r="K31" s="289" t="s">
        <v>528</v>
      </c>
      <c r="L31" s="289" t="s">
        <v>372</v>
      </c>
      <c r="M31" s="289">
        <v>4935500</v>
      </c>
      <c r="N31" s="289" t="s">
        <v>386</v>
      </c>
      <c r="O31" s="289">
        <v>664327</v>
      </c>
      <c r="P31" s="289">
        <v>0</v>
      </c>
      <c r="Q31" s="183">
        <v>0</v>
      </c>
      <c r="R31" s="289">
        <v>955982</v>
      </c>
      <c r="S31" s="183">
        <v>0</v>
      </c>
      <c r="T31" s="289" t="s">
        <v>280</v>
      </c>
      <c r="U31" s="289">
        <v>2</v>
      </c>
      <c r="V31" s="289">
        <v>1</v>
      </c>
      <c r="W31" s="289">
        <v>16</v>
      </c>
      <c r="X31" s="289" t="s">
        <v>436</v>
      </c>
      <c r="Y31" s="289">
        <v>1</v>
      </c>
      <c r="Z31" s="289">
        <v>1</v>
      </c>
      <c r="AA31" s="289">
        <v>2</v>
      </c>
      <c r="AB31" s="289" t="s">
        <v>375</v>
      </c>
      <c r="AC31" s="289">
        <v>1610106127</v>
      </c>
      <c r="AD31" s="289" t="s">
        <v>376</v>
      </c>
      <c r="AE31" s="289">
        <v>73880</v>
      </c>
      <c r="AF31"/>
      <c r="AG31"/>
      <c r="AH31"/>
    </row>
    <row r="32" spans="1:34" x14ac:dyDescent="0.35">
      <c r="A32" s="289" t="s">
        <v>437</v>
      </c>
      <c r="B32" s="289" t="s">
        <v>174</v>
      </c>
      <c r="C32" s="289" t="s">
        <v>175</v>
      </c>
      <c r="D32" s="289">
        <v>9</v>
      </c>
      <c r="E32" s="289">
        <v>1626000</v>
      </c>
      <c r="F32" s="289">
        <v>0</v>
      </c>
      <c r="G32" s="289">
        <v>1626000</v>
      </c>
      <c r="H32" s="289" t="s">
        <v>188</v>
      </c>
      <c r="I32" s="289" t="s">
        <v>529</v>
      </c>
      <c r="J32" s="289" t="s">
        <v>227</v>
      </c>
      <c r="K32" s="289" t="s">
        <v>530</v>
      </c>
      <c r="L32" s="289" t="s">
        <v>372</v>
      </c>
      <c r="M32" s="289">
        <v>4935500</v>
      </c>
      <c r="N32" s="289" t="s">
        <v>386</v>
      </c>
      <c r="O32" s="289">
        <v>666660</v>
      </c>
      <c r="P32" s="289">
        <v>0</v>
      </c>
      <c r="Q32" s="183">
        <v>0</v>
      </c>
      <c r="R32" s="289">
        <v>959340</v>
      </c>
      <c r="S32" s="183">
        <v>0</v>
      </c>
      <c r="T32" s="289" t="s">
        <v>266</v>
      </c>
      <c r="U32" s="289">
        <v>2</v>
      </c>
      <c r="V32" s="289">
        <v>1</v>
      </c>
      <c r="W32" s="289">
        <v>16</v>
      </c>
      <c r="X32" s="289" t="s">
        <v>438</v>
      </c>
      <c r="Y32" s="289">
        <v>1</v>
      </c>
      <c r="Z32" s="289">
        <v>1</v>
      </c>
      <c r="AA32" s="289">
        <v>2</v>
      </c>
      <c r="AB32" s="289" t="s">
        <v>375</v>
      </c>
      <c r="AC32" s="289">
        <v>1610100879</v>
      </c>
      <c r="AD32" s="289" t="s">
        <v>376</v>
      </c>
      <c r="AE32" s="289">
        <v>73880</v>
      </c>
      <c r="AF32"/>
      <c r="AG32"/>
      <c r="AH32"/>
    </row>
    <row r="33" spans="1:34" x14ac:dyDescent="0.35">
      <c r="A33" s="289" t="s">
        <v>439</v>
      </c>
      <c r="B33" s="289" t="s">
        <v>181</v>
      </c>
      <c r="C33" s="289" t="s">
        <v>319</v>
      </c>
      <c r="D33" s="289">
        <v>8</v>
      </c>
      <c r="E33" s="289">
        <v>1000000</v>
      </c>
      <c r="F33" s="289">
        <v>3500</v>
      </c>
      <c r="G33" s="289">
        <v>996500</v>
      </c>
      <c r="H33" s="289" t="s">
        <v>214</v>
      </c>
      <c r="I33" s="289" t="s">
        <v>531</v>
      </c>
      <c r="J33" s="289" t="s">
        <v>251</v>
      </c>
      <c r="K33" s="289" t="s">
        <v>532</v>
      </c>
      <c r="L33" s="289" t="s">
        <v>372</v>
      </c>
      <c r="M33" s="289">
        <v>3560200</v>
      </c>
      <c r="N33" s="289" t="s">
        <v>381</v>
      </c>
      <c r="O33" s="289">
        <v>996500</v>
      </c>
      <c r="P33" s="289">
        <v>0</v>
      </c>
      <c r="Q33" s="183">
        <v>0</v>
      </c>
      <c r="R33" s="289">
        <v>0</v>
      </c>
      <c r="S33" s="183">
        <v>0</v>
      </c>
      <c r="T33" s="289" t="s">
        <v>292</v>
      </c>
      <c r="U33" s="289">
        <v>2</v>
      </c>
      <c r="V33" s="289">
        <v>2</v>
      </c>
      <c r="W33" s="289">
        <v>0</v>
      </c>
      <c r="X33" s="289" t="s">
        <v>440</v>
      </c>
      <c r="Y33" s="289">
        <v>1</v>
      </c>
      <c r="Z33" s="289">
        <v>0</v>
      </c>
      <c r="AA33" s="289">
        <v>0</v>
      </c>
      <c r="AB33" s="289" t="s">
        <v>375</v>
      </c>
      <c r="AC33" s="289">
        <v>1610108232</v>
      </c>
      <c r="AD33" s="289" t="s">
        <v>376</v>
      </c>
      <c r="AE33" s="289"/>
      <c r="AF33"/>
      <c r="AG33"/>
      <c r="AH33"/>
    </row>
    <row r="34" spans="1:34" x14ac:dyDescent="0.35">
      <c r="A34" s="289" t="s">
        <v>441</v>
      </c>
      <c r="B34" s="289" t="s">
        <v>181</v>
      </c>
      <c r="C34" s="289" t="s">
        <v>319</v>
      </c>
      <c r="D34" s="289">
        <v>8</v>
      </c>
      <c r="E34" s="289">
        <v>1000000</v>
      </c>
      <c r="F34" s="289">
        <v>10500</v>
      </c>
      <c r="G34" s="289">
        <v>989500</v>
      </c>
      <c r="H34" s="289" t="s">
        <v>216</v>
      </c>
      <c r="I34" s="289" t="s">
        <v>533</v>
      </c>
      <c r="J34" s="289" t="s">
        <v>253</v>
      </c>
      <c r="K34" s="289" t="s">
        <v>534</v>
      </c>
      <c r="L34" s="289" t="s">
        <v>372</v>
      </c>
      <c r="M34" s="289">
        <v>3560200</v>
      </c>
      <c r="N34" s="289" t="s">
        <v>381</v>
      </c>
      <c r="O34" s="289">
        <v>989500</v>
      </c>
      <c r="P34" s="289">
        <v>0</v>
      </c>
      <c r="Q34" s="183">
        <v>0</v>
      </c>
      <c r="R34" s="289">
        <v>0</v>
      </c>
      <c r="S34" s="183">
        <v>0</v>
      </c>
      <c r="T34" s="289" t="s">
        <v>294</v>
      </c>
      <c r="U34" s="289">
        <v>2</v>
      </c>
      <c r="V34" s="289">
        <v>2</v>
      </c>
      <c r="W34" s="289">
        <v>2</v>
      </c>
      <c r="X34" s="289" t="s">
        <v>442</v>
      </c>
      <c r="Y34" s="289">
        <v>1</v>
      </c>
      <c r="Z34" s="289">
        <v>0</v>
      </c>
      <c r="AA34" s="289">
        <v>0</v>
      </c>
      <c r="AB34" s="289" t="s">
        <v>375</v>
      </c>
      <c r="AC34" s="289">
        <v>16109012260</v>
      </c>
      <c r="AD34" s="289" t="s">
        <v>376</v>
      </c>
      <c r="AE34" s="289"/>
      <c r="AF34"/>
      <c r="AG34"/>
      <c r="AH34"/>
    </row>
    <row r="35" spans="1:34" x14ac:dyDescent="0.35">
      <c r="A35" s="289" t="s">
        <v>443</v>
      </c>
      <c r="B35" s="289" t="s">
        <v>176</v>
      </c>
      <c r="C35" s="289" t="s">
        <v>177</v>
      </c>
      <c r="D35" s="289">
        <v>11</v>
      </c>
      <c r="E35" s="289">
        <v>1842000</v>
      </c>
      <c r="F35" s="289">
        <v>6447</v>
      </c>
      <c r="G35" s="289">
        <v>1835553</v>
      </c>
      <c r="H35" s="289" t="s">
        <v>186</v>
      </c>
      <c r="I35" s="289" t="s">
        <v>535</v>
      </c>
      <c r="J35" s="289" t="s">
        <v>316</v>
      </c>
      <c r="K35" s="289" t="s">
        <v>536</v>
      </c>
      <c r="L35" s="289" t="s">
        <v>372</v>
      </c>
      <c r="M35" s="289">
        <v>5568200</v>
      </c>
      <c r="N35" s="289" t="s">
        <v>373</v>
      </c>
      <c r="O35" s="289">
        <v>569021</v>
      </c>
      <c r="P35" s="289">
        <v>0</v>
      </c>
      <c r="Q35" s="183">
        <v>0</v>
      </c>
      <c r="R35" s="289">
        <v>1266532</v>
      </c>
      <c r="S35" s="183">
        <v>0</v>
      </c>
      <c r="T35" s="289" t="s">
        <v>264</v>
      </c>
      <c r="U35" s="289">
        <v>2</v>
      </c>
      <c r="V35" s="289">
        <v>1</v>
      </c>
      <c r="W35" s="289">
        <v>20</v>
      </c>
      <c r="X35" s="289" t="s">
        <v>444</v>
      </c>
      <c r="Y35" s="289">
        <v>1</v>
      </c>
      <c r="Z35" s="289">
        <v>1</v>
      </c>
      <c r="AA35" s="289">
        <v>1</v>
      </c>
      <c r="AB35" s="289" t="s">
        <v>375</v>
      </c>
      <c r="AC35" s="289">
        <v>1610104362</v>
      </c>
      <c r="AD35" s="289" t="s">
        <v>376</v>
      </c>
      <c r="AE35" s="289">
        <v>81081</v>
      </c>
      <c r="AF35"/>
      <c r="AG35"/>
      <c r="AH35"/>
    </row>
    <row r="36" spans="1:34" x14ac:dyDescent="0.35">
      <c r="A36" s="289" t="s">
        <v>445</v>
      </c>
      <c r="B36" s="289" t="s">
        <v>181</v>
      </c>
      <c r="C36" s="289" t="s">
        <v>319</v>
      </c>
      <c r="D36" s="289">
        <v>8</v>
      </c>
      <c r="E36" s="289">
        <v>1000000</v>
      </c>
      <c r="F36" s="289">
        <v>0</v>
      </c>
      <c r="G36" s="289">
        <v>1000000</v>
      </c>
      <c r="H36" s="289" t="s">
        <v>218</v>
      </c>
      <c r="I36" s="289" t="s">
        <v>537</v>
      </c>
      <c r="J36" s="289" t="s">
        <v>255</v>
      </c>
      <c r="K36" s="289" t="s">
        <v>538</v>
      </c>
      <c r="L36" s="289" t="s">
        <v>372</v>
      </c>
      <c r="M36" s="289">
        <v>4196300</v>
      </c>
      <c r="N36" s="289" t="s">
        <v>381</v>
      </c>
      <c r="O36" s="289">
        <v>1000000</v>
      </c>
      <c r="P36" s="289">
        <v>0</v>
      </c>
      <c r="Q36" s="183">
        <v>0</v>
      </c>
      <c r="R36" s="289">
        <v>0</v>
      </c>
      <c r="S36" s="183">
        <v>0</v>
      </c>
      <c r="T36" s="289" t="s">
        <v>296</v>
      </c>
      <c r="U36" s="289">
        <v>2</v>
      </c>
      <c r="V36" s="289">
        <v>2</v>
      </c>
      <c r="W36" s="289">
        <v>2</v>
      </c>
      <c r="X36" s="289" t="s">
        <v>446</v>
      </c>
      <c r="Y36" s="289">
        <v>1</v>
      </c>
      <c r="Z36" s="289">
        <v>1</v>
      </c>
      <c r="AA36" s="289">
        <v>1</v>
      </c>
      <c r="AB36" s="289" t="s">
        <v>375</v>
      </c>
      <c r="AC36" s="289">
        <v>1610906183</v>
      </c>
      <c r="AD36" s="289" t="s">
        <v>376</v>
      </c>
      <c r="AE36" s="289"/>
      <c r="AF36"/>
      <c r="AG36"/>
      <c r="AH36"/>
    </row>
    <row r="37" spans="1:34" x14ac:dyDescent="0.35">
      <c r="A37" s="289" t="s">
        <v>447</v>
      </c>
      <c r="B37" s="289" t="s">
        <v>181</v>
      </c>
      <c r="C37" s="289" t="s">
        <v>319</v>
      </c>
      <c r="D37" s="289">
        <v>8</v>
      </c>
      <c r="E37" s="289">
        <v>1000000</v>
      </c>
      <c r="F37" s="289">
        <v>21000</v>
      </c>
      <c r="G37" s="289">
        <v>979000</v>
      </c>
      <c r="H37" s="289" t="s">
        <v>220</v>
      </c>
      <c r="I37" s="289" t="s">
        <v>539</v>
      </c>
      <c r="J37" s="289" t="s">
        <v>257</v>
      </c>
      <c r="K37" s="289" t="s">
        <v>540</v>
      </c>
      <c r="L37" s="289" t="s">
        <v>372</v>
      </c>
      <c r="M37" s="289">
        <v>3560200</v>
      </c>
      <c r="N37" s="289" t="s">
        <v>378</v>
      </c>
      <c r="O37" s="289">
        <v>979000</v>
      </c>
      <c r="P37" s="289">
        <v>0</v>
      </c>
      <c r="Q37" s="183">
        <v>0</v>
      </c>
      <c r="R37" s="289">
        <v>0</v>
      </c>
      <c r="S37" s="183">
        <v>0</v>
      </c>
      <c r="T37" s="289" t="s">
        <v>298</v>
      </c>
      <c r="U37" s="289">
        <v>2</v>
      </c>
      <c r="V37" s="289">
        <v>2</v>
      </c>
      <c r="W37" s="289">
        <v>0</v>
      </c>
      <c r="X37" s="289" t="s">
        <v>448</v>
      </c>
      <c r="Y37" s="289">
        <v>2</v>
      </c>
      <c r="Z37" s="289">
        <v>0</v>
      </c>
      <c r="AA37" s="289">
        <v>0</v>
      </c>
      <c r="AB37" s="289" t="s">
        <v>375</v>
      </c>
      <c r="AC37" s="289">
        <v>1440966659</v>
      </c>
      <c r="AD37" s="289" t="s">
        <v>376</v>
      </c>
      <c r="AE37" s="289"/>
      <c r="AF37"/>
      <c r="AG37"/>
      <c r="AH37"/>
    </row>
    <row r="38" spans="1:34" x14ac:dyDescent="0.35">
      <c r="A38" s="289" t="s">
        <v>449</v>
      </c>
      <c r="B38" s="289" t="s">
        <v>174</v>
      </c>
      <c r="C38" s="289" t="s">
        <v>175</v>
      </c>
      <c r="D38" s="289">
        <v>9</v>
      </c>
      <c r="E38" s="289">
        <v>1626000</v>
      </c>
      <c r="F38" s="289">
        <v>11382</v>
      </c>
      <c r="G38" s="289">
        <v>1614618</v>
      </c>
      <c r="H38" s="289" t="s">
        <v>195</v>
      </c>
      <c r="I38" s="289" t="s">
        <v>541</v>
      </c>
      <c r="J38" s="289" t="s">
        <v>233</v>
      </c>
      <c r="K38" s="289" t="s">
        <v>542</v>
      </c>
      <c r="L38" s="289" t="s">
        <v>372</v>
      </c>
      <c r="M38" s="289">
        <v>4935500</v>
      </c>
      <c r="N38" s="289" t="s">
        <v>386</v>
      </c>
      <c r="O38" s="289">
        <v>661993</v>
      </c>
      <c r="P38" s="289">
        <v>0</v>
      </c>
      <c r="Q38" s="183">
        <v>0</v>
      </c>
      <c r="R38" s="289">
        <v>952625</v>
      </c>
      <c r="S38" s="183">
        <v>0</v>
      </c>
      <c r="T38" s="289" t="s">
        <v>273</v>
      </c>
      <c r="U38" s="289">
        <v>2</v>
      </c>
      <c r="V38" s="289">
        <v>1</v>
      </c>
      <c r="W38" s="289">
        <v>16</v>
      </c>
      <c r="X38" s="289" t="s">
        <v>450</v>
      </c>
      <c r="Y38" s="289">
        <v>1</v>
      </c>
      <c r="Z38" s="289">
        <v>1</v>
      </c>
      <c r="AA38" s="289">
        <v>2</v>
      </c>
      <c r="AB38" s="289" t="s">
        <v>375</v>
      </c>
      <c r="AC38" s="289">
        <v>1610104840</v>
      </c>
      <c r="AD38" s="289" t="s">
        <v>376</v>
      </c>
      <c r="AE38" s="289">
        <v>70881</v>
      </c>
      <c r="AF38"/>
      <c r="AG38"/>
      <c r="AH38"/>
    </row>
    <row r="39" spans="1:34" x14ac:dyDescent="0.35">
      <c r="A39" s="289" t="s">
        <v>451</v>
      </c>
      <c r="B39" s="289" t="s">
        <v>181</v>
      </c>
      <c r="C39" s="289" t="s">
        <v>319</v>
      </c>
      <c r="D39" s="289">
        <v>8</v>
      </c>
      <c r="E39" s="289">
        <v>1000000</v>
      </c>
      <c r="F39" s="289">
        <v>3500</v>
      </c>
      <c r="G39" s="289">
        <v>996500</v>
      </c>
      <c r="H39" s="289" t="s">
        <v>215</v>
      </c>
      <c r="I39" s="289" t="s">
        <v>543</v>
      </c>
      <c r="J39" s="289" t="s">
        <v>252</v>
      </c>
      <c r="K39" s="289" t="s">
        <v>544</v>
      </c>
      <c r="L39" s="289" t="s">
        <v>372</v>
      </c>
      <c r="M39" s="289">
        <v>4196300</v>
      </c>
      <c r="N39" s="289" t="s">
        <v>381</v>
      </c>
      <c r="O39" s="289">
        <v>996500</v>
      </c>
      <c r="P39" s="289">
        <v>0</v>
      </c>
      <c r="Q39" s="183">
        <v>0</v>
      </c>
      <c r="R39" s="289">
        <v>0</v>
      </c>
      <c r="S39" s="183">
        <v>0</v>
      </c>
      <c r="T39" s="289" t="s">
        <v>293</v>
      </c>
      <c r="U39" s="289">
        <v>2</v>
      </c>
      <c r="V39" s="289">
        <v>2</v>
      </c>
      <c r="W39" s="289">
        <v>2</v>
      </c>
      <c r="X39" s="289" t="s">
        <v>452</v>
      </c>
      <c r="Y39" s="289">
        <v>1</v>
      </c>
      <c r="Z39" s="289">
        <v>1</v>
      </c>
      <c r="AA39" s="289">
        <v>1</v>
      </c>
      <c r="AB39" s="289" t="s">
        <v>375</v>
      </c>
      <c r="AC39" s="289">
        <v>1440924881</v>
      </c>
      <c r="AD39" s="289" t="s">
        <v>376</v>
      </c>
      <c r="AE39" s="289"/>
      <c r="AF39"/>
      <c r="AG39"/>
      <c r="AH39"/>
    </row>
    <row r="40" spans="1:34" x14ac:dyDescent="0.35">
      <c r="A40" s="289" t="s">
        <v>453</v>
      </c>
      <c r="B40" s="289" t="s">
        <v>178</v>
      </c>
      <c r="C40" s="289" t="s">
        <v>454</v>
      </c>
      <c r="D40" s="289">
        <v>11</v>
      </c>
      <c r="E40" s="289">
        <v>4569000</v>
      </c>
      <c r="F40" s="289">
        <v>0</v>
      </c>
      <c r="G40" s="289">
        <v>4569000</v>
      </c>
      <c r="H40" s="289" t="s">
        <v>187</v>
      </c>
      <c r="I40" s="289" t="s">
        <v>545</v>
      </c>
      <c r="J40" s="289" t="s">
        <v>317</v>
      </c>
      <c r="K40" s="289" t="s">
        <v>546</v>
      </c>
      <c r="L40" s="289" t="s">
        <v>372</v>
      </c>
      <c r="M40" s="289">
        <v>5967000</v>
      </c>
      <c r="N40" s="289" t="s">
        <v>386</v>
      </c>
      <c r="O40" s="289">
        <v>3289680</v>
      </c>
      <c r="P40" s="289">
        <v>0</v>
      </c>
      <c r="Q40" s="183">
        <v>0</v>
      </c>
      <c r="R40" s="289">
        <v>1279320</v>
      </c>
      <c r="S40" s="183">
        <v>0</v>
      </c>
      <c r="T40" s="289" t="s">
        <v>265</v>
      </c>
      <c r="U40" s="289">
        <v>2</v>
      </c>
      <c r="V40" s="289">
        <v>1</v>
      </c>
      <c r="W40" s="289">
        <v>19</v>
      </c>
      <c r="X40" s="289" t="s">
        <v>455</v>
      </c>
      <c r="Y40" s="289">
        <v>1</v>
      </c>
      <c r="Z40" s="289">
        <v>1</v>
      </c>
      <c r="AA40" s="289">
        <v>2</v>
      </c>
      <c r="AB40" s="289" t="s">
        <v>375</v>
      </c>
      <c r="AC40" s="289">
        <v>1610102485</v>
      </c>
      <c r="AD40" s="289" t="s">
        <v>376</v>
      </c>
      <c r="AE40" s="289">
        <v>78605</v>
      </c>
      <c r="AF40"/>
      <c r="AG40"/>
      <c r="AH40"/>
    </row>
    <row r="41" spans="1:34" x14ac:dyDescent="0.35">
      <c r="A41" s="289" t="s">
        <v>456</v>
      </c>
      <c r="B41" s="289" t="s">
        <v>174</v>
      </c>
      <c r="C41" s="289" t="s">
        <v>175</v>
      </c>
      <c r="D41" s="289">
        <v>9</v>
      </c>
      <c r="E41" s="289">
        <v>1626000</v>
      </c>
      <c r="F41" s="289">
        <v>0</v>
      </c>
      <c r="G41" s="289">
        <v>1626000</v>
      </c>
      <c r="H41" s="289" t="s">
        <v>183</v>
      </c>
      <c r="I41" s="289" t="s">
        <v>547</v>
      </c>
      <c r="J41" s="289" t="s">
        <v>224</v>
      </c>
      <c r="K41" s="289" t="s">
        <v>548</v>
      </c>
      <c r="L41" s="289" t="s">
        <v>372</v>
      </c>
      <c r="M41" s="289">
        <v>5207400</v>
      </c>
      <c r="N41" s="289" t="s">
        <v>381</v>
      </c>
      <c r="O41" s="289">
        <v>666660</v>
      </c>
      <c r="P41" s="289">
        <v>0</v>
      </c>
      <c r="Q41" s="183">
        <v>0</v>
      </c>
      <c r="R41" s="289">
        <v>959340</v>
      </c>
      <c r="S41" s="183">
        <v>0</v>
      </c>
      <c r="T41" s="289" t="s">
        <v>261</v>
      </c>
      <c r="U41" s="289">
        <v>2</v>
      </c>
      <c r="V41" s="289">
        <v>1</v>
      </c>
      <c r="W41" s="289">
        <v>22</v>
      </c>
      <c r="X41" s="289" t="s">
        <v>457</v>
      </c>
      <c r="Y41" s="289">
        <v>1</v>
      </c>
      <c r="Z41" s="289">
        <v>1</v>
      </c>
      <c r="AA41" s="289">
        <v>0</v>
      </c>
      <c r="AB41" s="289" t="s">
        <v>375</v>
      </c>
      <c r="AC41" s="289">
        <v>1610100141</v>
      </c>
      <c r="AD41" s="289" t="s">
        <v>376</v>
      </c>
      <c r="AE41" s="289"/>
      <c r="AF41"/>
      <c r="AG41"/>
      <c r="AH41"/>
    </row>
    <row r="42" spans="1:34" x14ac:dyDescent="0.35">
      <c r="A42" s="289" t="s">
        <v>458</v>
      </c>
      <c r="B42" s="289" t="s">
        <v>174</v>
      </c>
      <c r="C42" s="289" t="s">
        <v>175</v>
      </c>
      <c r="D42" s="289">
        <v>9</v>
      </c>
      <c r="E42" s="289">
        <v>1626000</v>
      </c>
      <c r="F42" s="289">
        <v>5691</v>
      </c>
      <c r="G42" s="289">
        <v>1620309</v>
      </c>
      <c r="H42" s="289" t="s">
        <v>185</v>
      </c>
      <c r="I42" s="289" t="s">
        <v>549</v>
      </c>
      <c r="J42" s="289" t="s">
        <v>226</v>
      </c>
      <c r="K42" s="289" t="s">
        <v>550</v>
      </c>
      <c r="L42" s="289" t="s">
        <v>372</v>
      </c>
      <c r="M42" s="289">
        <v>4935500</v>
      </c>
      <c r="N42" s="289" t="s">
        <v>386</v>
      </c>
      <c r="O42" s="289">
        <v>664327</v>
      </c>
      <c r="P42" s="289">
        <v>0</v>
      </c>
      <c r="Q42" s="183">
        <v>0</v>
      </c>
      <c r="R42" s="289">
        <v>955982</v>
      </c>
      <c r="S42" s="183">
        <v>0</v>
      </c>
      <c r="T42" s="289" t="s">
        <v>263</v>
      </c>
      <c r="U42" s="289">
        <v>2</v>
      </c>
      <c r="V42" s="289">
        <v>1</v>
      </c>
      <c r="W42" s="289">
        <v>16</v>
      </c>
      <c r="X42" s="289" t="s">
        <v>459</v>
      </c>
      <c r="Y42" s="289">
        <v>1</v>
      </c>
      <c r="Z42" s="289">
        <v>1</v>
      </c>
      <c r="AA42" s="289">
        <v>2</v>
      </c>
      <c r="AB42" s="289" t="s">
        <v>375</v>
      </c>
      <c r="AC42" s="289">
        <v>1610901665</v>
      </c>
      <c r="AD42" s="289" t="s">
        <v>376</v>
      </c>
      <c r="AE42" s="289">
        <v>73880</v>
      </c>
      <c r="AF42"/>
      <c r="AG42"/>
      <c r="AH42"/>
    </row>
    <row r="43" spans="1:34" x14ac:dyDescent="0.35">
      <c r="A43" s="289" t="s">
        <v>460</v>
      </c>
      <c r="B43" s="289" t="s">
        <v>174</v>
      </c>
      <c r="C43" s="289" t="s">
        <v>175</v>
      </c>
      <c r="D43" s="289">
        <v>9</v>
      </c>
      <c r="E43" s="289">
        <v>1626000</v>
      </c>
      <c r="F43" s="289">
        <v>0</v>
      </c>
      <c r="G43" s="289">
        <v>1626000</v>
      </c>
      <c r="H43" s="289" t="s">
        <v>190</v>
      </c>
      <c r="I43" s="289" t="s">
        <v>551</v>
      </c>
      <c r="J43" s="289" t="s">
        <v>229</v>
      </c>
      <c r="K43" s="289" t="s">
        <v>552</v>
      </c>
      <c r="L43" s="289" t="s">
        <v>372</v>
      </c>
      <c r="M43" s="289">
        <v>4935500</v>
      </c>
      <c r="N43" s="289" t="s">
        <v>386</v>
      </c>
      <c r="O43" s="289">
        <v>666660</v>
      </c>
      <c r="P43" s="289">
        <v>0</v>
      </c>
      <c r="Q43" s="183">
        <v>0</v>
      </c>
      <c r="R43" s="289">
        <v>959340</v>
      </c>
      <c r="S43" s="183">
        <v>0</v>
      </c>
      <c r="T43" s="289" t="s">
        <v>268</v>
      </c>
      <c r="U43" s="289">
        <v>2</v>
      </c>
      <c r="V43" s="289">
        <v>1</v>
      </c>
      <c r="W43" s="289">
        <v>16</v>
      </c>
      <c r="X43" s="289" t="s">
        <v>461</v>
      </c>
      <c r="Y43" s="289">
        <v>1</v>
      </c>
      <c r="Z43" s="289">
        <v>1</v>
      </c>
      <c r="AA43" s="289">
        <v>2</v>
      </c>
      <c r="AB43" s="289" t="s">
        <v>375</v>
      </c>
      <c r="AC43" s="289">
        <v>1610104837</v>
      </c>
      <c r="AD43" s="289" t="s">
        <v>376</v>
      </c>
      <c r="AE43" s="289">
        <v>70881</v>
      </c>
      <c r="AF43"/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7" t="s">
        <v>321</v>
      </c>
    </row>
    <row r="4" spans="1:20" x14ac:dyDescent="0.35">
      <c r="A4" s="392" t="s">
        <v>322</v>
      </c>
      <c r="B4" s="400" t="s">
        <v>6</v>
      </c>
      <c r="C4" s="392" t="s">
        <v>5</v>
      </c>
      <c r="D4" s="395" t="s">
        <v>340</v>
      </c>
      <c r="E4" s="395" t="s">
        <v>341</v>
      </c>
      <c r="F4" s="392" t="s">
        <v>323</v>
      </c>
      <c r="G4" s="387" t="s">
        <v>324</v>
      </c>
      <c r="H4" s="388"/>
      <c r="I4" s="388"/>
      <c r="J4" s="388"/>
      <c r="K4" s="388"/>
      <c r="L4" s="388"/>
      <c r="M4" s="388"/>
      <c r="N4" s="388"/>
      <c r="O4" s="388"/>
      <c r="P4" s="389"/>
      <c r="Q4" s="390" t="s">
        <v>325</v>
      </c>
      <c r="R4" s="392" t="s">
        <v>326</v>
      </c>
      <c r="S4" s="390" t="s">
        <v>343</v>
      </c>
      <c r="T4" s="390" t="s">
        <v>327</v>
      </c>
    </row>
    <row r="5" spans="1:20" ht="29" x14ac:dyDescent="0.35">
      <c r="A5" s="393"/>
      <c r="B5" s="401"/>
      <c r="C5" s="393"/>
      <c r="D5" s="396"/>
      <c r="E5" s="396"/>
      <c r="F5" s="393"/>
      <c r="G5" s="308" t="s">
        <v>328</v>
      </c>
      <c r="H5" s="308" t="s">
        <v>329</v>
      </c>
      <c r="I5" s="308" t="s">
        <v>330</v>
      </c>
      <c r="J5" s="308" t="s">
        <v>331</v>
      </c>
      <c r="K5" s="308" t="s">
        <v>332</v>
      </c>
      <c r="L5" s="308" t="s">
        <v>333</v>
      </c>
      <c r="M5" s="309" t="s">
        <v>334</v>
      </c>
      <c r="N5" s="310" t="s">
        <v>335</v>
      </c>
      <c r="O5" s="310" t="s">
        <v>336</v>
      </c>
      <c r="P5" s="310" t="s">
        <v>337</v>
      </c>
      <c r="Q5" s="391"/>
      <c r="R5" s="393"/>
      <c r="S5" s="393"/>
      <c r="T5" s="394"/>
    </row>
    <row r="6" spans="1:20" s="311" customFormat="1" ht="13" x14ac:dyDescent="0.3">
      <c r="A6" s="313">
        <v>1</v>
      </c>
      <c r="B6" s="314" t="str">
        <f>bpjs!C9</f>
        <v>197204052005011009</v>
      </c>
      <c r="C6" s="339" t="str">
        <f>bank!C8</f>
        <v>ALFIKRI</v>
      </c>
      <c r="D6" s="316">
        <f>G6*5</f>
        <v>418175</v>
      </c>
      <c r="E6" s="316">
        <f>D6</f>
        <v>418175</v>
      </c>
      <c r="F6" s="316">
        <f>D6+E6</f>
        <v>836350</v>
      </c>
      <c r="G6" s="317">
        <f>bank!H8</f>
        <v>83635</v>
      </c>
      <c r="H6" s="317">
        <f>G6</f>
        <v>83635</v>
      </c>
      <c r="I6" s="317">
        <f t="shared" ref="I6:L6" si="0">H6</f>
        <v>83635</v>
      </c>
      <c r="J6" s="317">
        <f t="shared" si="0"/>
        <v>83635</v>
      </c>
      <c r="K6" s="317">
        <f t="shared" si="0"/>
        <v>83635</v>
      </c>
      <c r="L6" s="317">
        <f t="shared" si="0"/>
        <v>83635</v>
      </c>
      <c r="M6" s="318"/>
      <c r="N6" s="318"/>
      <c r="O6" s="318"/>
      <c r="P6" s="318"/>
      <c r="Q6" s="317">
        <f>F6-SUM(G6:P6)</f>
        <v>334540</v>
      </c>
      <c r="R6" s="319" t="s">
        <v>338</v>
      </c>
      <c r="S6" s="315" t="s">
        <v>339</v>
      </c>
      <c r="T6" s="320"/>
    </row>
    <row r="7" spans="1:20" s="311" customFormat="1" ht="13" x14ac:dyDescent="0.3">
      <c r="A7" s="321">
        <v>2</v>
      </c>
      <c r="B7" s="322" t="str">
        <f>bpjs!C10</f>
        <v>198609142019021003</v>
      </c>
      <c r="C7" s="340" t="str">
        <f>bank!C9</f>
        <v>ALIANGGA KUSUMA</v>
      </c>
      <c r="D7" s="324">
        <f t="shared" ref="D7:D32" si="1">G7*5</f>
        <v>0</v>
      </c>
      <c r="E7" s="324">
        <f t="shared" ref="E7:E32" si="2">D7</f>
        <v>0</v>
      </c>
      <c r="F7" s="324">
        <f t="shared" ref="F7:F32" si="3">D7+E7</f>
        <v>0</v>
      </c>
      <c r="G7" s="325">
        <f>bank!H9</f>
        <v>0</v>
      </c>
      <c r="H7" s="325">
        <f t="shared" ref="H7:L7" si="4">G7</f>
        <v>0</v>
      </c>
      <c r="I7" s="325">
        <f t="shared" si="4"/>
        <v>0</v>
      </c>
      <c r="J7" s="325">
        <f t="shared" si="4"/>
        <v>0</v>
      </c>
      <c r="K7" s="325">
        <f t="shared" si="4"/>
        <v>0</v>
      </c>
      <c r="L7" s="325">
        <f t="shared" si="4"/>
        <v>0</v>
      </c>
      <c r="M7" s="326"/>
      <c r="N7" s="326"/>
      <c r="O7" s="326"/>
      <c r="P7" s="326"/>
      <c r="Q7" s="325">
        <f t="shared" ref="Q7:Q32" si="5">F7-SUM(G7:P7)</f>
        <v>0</v>
      </c>
      <c r="R7" s="327" t="s">
        <v>338</v>
      </c>
      <c r="S7" s="323" t="s">
        <v>339</v>
      </c>
      <c r="T7" s="328"/>
    </row>
    <row r="8" spans="1:20" s="311" customFormat="1" ht="13" x14ac:dyDescent="0.3">
      <c r="A8" s="321">
        <v>3</v>
      </c>
      <c r="B8" s="322" t="str">
        <f>bpjs!C11</f>
        <v>199001222019022005</v>
      </c>
      <c r="C8" s="340" t="str">
        <f>bank!C10</f>
        <v>DEBY SILVIA</v>
      </c>
      <c r="D8" s="324">
        <f t="shared" si="1"/>
        <v>0</v>
      </c>
      <c r="E8" s="324">
        <f t="shared" si="2"/>
        <v>0</v>
      </c>
      <c r="F8" s="324">
        <f t="shared" si="3"/>
        <v>0</v>
      </c>
      <c r="G8" s="325">
        <f>bank!H10</f>
        <v>0</v>
      </c>
      <c r="H8" s="325">
        <f t="shared" ref="H8:L8" si="6">G8</f>
        <v>0</v>
      </c>
      <c r="I8" s="325">
        <f t="shared" si="6"/>
        <v>0</v>
      </c>
      <c r="J8" s="325">
        <f t="shared" si="6"/>
        <v>0</v>
      </c>
      <c r="K8" s="325">
        <f t="shared" si="6"/>
        <v>0</v>
      </c>
      <c r="L8" s="325">
        <f t="shared" si="6"/>
        <v>0</v>
      </c>
      <c r="M8" s="326"/>
      <c r="N8" s="326"/>
      <c r="O8" s="326"/>
      <c r="P8" s="326"/>
      <c r="Q8" s="325">
        <f t="shared" si="5"/>
        <v>0</v>
      </c>
      <c r="R8" s="327" t="s">
        <v>338</v>
      </c>
      <c r="S8" s="323" t="s">
        <v>339</v>
      </c>
      <c r="T8" s="328"/>
    </row>
    <row r="9" spans="1:20" s="311" customFormat="1" ht="13" x14ac:dyDescent="0.3">
      <c r="A9" s="321">
        <v>4</v>
      </c>
      <c r="B9" s="322" t="str">
        <f>bpjs!C12</f>
        <v>198602012014021001</v>
      </c>
      <c r="C9" s="340" t="str">
        <f>bank!C11</f>
        <v>ERIS PRIYANA</v>
      </c>
      <c r="D9" s="324">
        <f t="shared" si="1"/>
        <v>333090</v>
      </c>
      <c r="E9" s="324">
        <f t="shared" si="2"/>
        <v>333090</v>
      </c>
      <c r="F9" s="324">
        <f t="shared" si="3"/>
        <v>666180</v>
      </c>
      <c r="G9" s="325">
        <f>bank!H11</f>
        <v>66618</v>
      </c>
      <c r="H9" s="325">
        <f t="shared" ref="H9:L9" si="7">G9</f>
        <v>66618</v>
      </c>
      <c r="I9" s="325">
        <f t="shared" si="7"/>
        <v>66618</v>
      </c>
      <c r="J9" s="325">
        <f t="shared" si="7"/>
        <v>66618</v>
      </c>
      <c r="K9" s="325">
        <f t="shared" si="7"/>
        <v>66618</v>
      </c>
      <c r="L9" s="325">
        <f t="shared" si="7"/>
        <v>66618</v>
      </c>
      <c r="M9" s="326"/>
      <c r="N9" s="326"/>
      <c r="O9" s="326"/>
      <c r="P9" s="326"/>
      <c r="Q9" s="325">
        <f t="shared" si="5"/>
        <v>266472</v>
      </c>
      <c r="R9" s="327" t="s">
        <v>338</v>
      </c>
      <c r="S9" s="323" t="s">
        <v>339</v>
      </c>
      <c r="T9" s="329"/>
    </row>
    <row r="10" spans="1:20" s="311" customFormat="1" ht="13" x14ac:dyDescent="0.3">
      <c r="A10" s="321">
        <v>5</v>
      </c>
      <c r="B10" s="322" t="str">
        <f>bpjs!C13</f>
        <v>198103152008042001</v>
      </c>
      <c r="C10" s="340" t="str">
        <f>bank!C12</f>
        <v>ERNAWATI</v>
      </c>
      <c r="D10" s="324">
        <f t="shared" si="1"/>
        <v>381035</v>
      </c>
      <c r="E10" s="324">
        <f t="shared" si="2"/>
        <v>381035</v>
      </c>
      <c r="F10" s="324">
        <f t="shared" si="3"/>
        <v>762070</v>
      </c>
      <c r="G10" s="325">
        <f>bank!H12</f>
        <v>76207</v>
      </c>
      <c r="H10" s="325">
        <f t="shared" ref="H10:L10" si="8">G10</f>
        <v>76207</v>
      </c>
      <c r="I10" s="325">
        <f t="shared" si="8"/>
        <v>76207</v>
      </c>
      <c r="J10" s="325">
        <f t="shared" si="8"/>
        <v>76207</v>
      </c>
      <c r="K10" s="325">
        <f t="shared" si="8"/>
        <v>76207</v>
      </c>
      <c r="L10" s="325">
        <f t="shared" si="8"/>
        <v>76207</v>
      </c>
      <c r="M10" s="326"/>
      <c r="N10" s="326"/>
      <c r="O10" s="326"/>
      <c r="P10" s="326"/>
      <c r="Q10" s="325">
        <f t="shared" si="5"/>
        <v>304828</v>
      </c>
      <c r="R10" s="327" t="s">
        <v>338</v>
      </c>
      <c r="S10" s="323" t="s">
        <v>339</v>
      </c>
      <c r="T10" s="328"/>
    </row>
    <row r="11" spans="1:20" s="311" customFormat="1" ht="13" x14ac:dyDescent="0.3">
      <c r="A11" s="321">
        <v>6</v>
      </c>
      <c r="B11" s="322" t="str">
        <f>bpjs!C14</f>
        <v>198809302012121002</v>
      </c>
      <c r="C11" s="340" t="str">
        <f>bank!C13</f>
        <v>FANSURI SEPTIAWAN</v>
      </c>
      <c r="D11" s="324">
        <f t="shared" si="1"/>
        <v>337025</v>
      </c>
      <c r="E11" s="324">
        <f t="shared" si="2"/>
        <v>337025</v>
      </c>
      <c r="F11" s="324">
        <f t="shared" si="3"/>
        <v>674050</v>
      </c>
      <c r="G11" s="325">
        <f>bank!H13</f>
        <v>67405</v>
      </c>
      <c r="H11" s="325">
        <f t="shared" ref="H11:L11" si="9">G11</f>
        <v>67405</v>
      </c>
      <c r="I11" s="325">
        <f t="shared" si="9"/>
        <v>67405</v>
      </c>
      <c r="J11" s="325">
        <f t="shared" si="9"/>
        <v>67405</v>
      </c>
      <c r="K11" s="325">
        <f t="shared" si="9"/>
        <v>67405</v>
      </c>
      <c r="L11" s="325">
        <f t="shared" si="9"/>
        <v>67405</v>
      </c>
      <c r="M11" s="326"/>
      <c r="N11" s="326"/>
      <c r="O11" s="326"/>
      <c r="P11" s="326"/>
      <c r="Q11" s="325">
        <f t="shared" si="5"/>
        <v>269620</v>
      </c>
      <c r="R11" s="327" t="s">
        <v>338</v>
      </c>
      <c r="S11" s="323" t="s">
        <v>339</v>
      </c>
      <c r="T11" s="328"/>
    </row>
    <row r="12" spans="1:20" s="311" customFormat="1" ht="13" x14ac:dyDescent="0.3">
      <c r="A12" s="321">
        <v>7</v>
      </c>
      <c r="B12" s="322" t="str">
        <f>bpjs!C15</f>
        <v>198410152008041002</v>
      </c>
      <c r="C12" s="340" t="str">
        <f>bank!C14</f>
        <v>FENDI BOY PARNINGOTANSITOMPUL</v>
      </c>
      <c r="D12" s="324">
        <f t="shared" si="1"/>
        <v>381035</v>
      </c>
      <c r="E12" s="324">
        <f t="shared" si="2"/>
        <v>381035</v>
      </c>
      <c r="F12" s="324">
        <f t="shared" si="3"/>
        <v>762070</v>
      </c>
      <c r="G12" s="325">
        <f>bank!H14</f>
        <v>76207</v>
      </c>
      <c r="H12" s="325">
        <f t="shared" ref="H12:L12" si="10">G12</f>
        <v>76207</v>
      </c>
      <c r="I12" s="325">
        <f t="shared" si="10"/>
        <v>76207</v>
      </c>
      <c r="J12" s="325">
        <f t="shared" si="10"/>
        <v>76207</v>
      </c>
      <c r="K12" s="325">
        <f t="shared" si="10"/>
        <v>76207</v>
      </c>
      <c r="L12" s="325">
        <f t="shared" si="10"/>
        <v>76207</v>
      </c>
      <c r="M12" s="326"/>
      <c r="N12" s="326"/>
      <c r="O12" s="326"/>
      <c r="P12" s="326"/>
      <c r="Q12" s="325">
        <f t="shared" si="5"/>
        <v>304828</v>
      </c>
      <c r="R12" s="327" t="s">
        <v>338</v>
      </c>
      <c r="S12" s="323" t="s">
        <v>339</v>
      </c>
      <c r="T12" s="328"/>
    </row>
    <row r="13" spans="1:20" s="311" customFormat="1" ht="13" x14ac:dyDescent="0.3">
      <c r="A13" s="321">
        <v>8</v>
      </c>
      <c r="B13" s="322" t="str">
        <f>bpjs!C16</f>
        <v>198612282011012005</v>
      </c>
      <c r="C13" s="340" t="str">
        <f>bank!C15</f>
        <v>FITRIA NILAM SYARI</v>
      </c>
      <c r="D13" s="324">
        <f t="shared" si="1"/>
        <v>343580</v>
      </c>
      <c r="E13" s="324">
        <f t="shared" si="2"/>
        <v>343580</v>
      </c>
      <c r="F13" s="324">
        <f t="shared" si="3"/>
        <v>687160</v>
      </c>
      <c r="G13" s="325">
        <f>bank!H15</f>
        <v>68716</v>
      </c>
      <c r="H13" s="325">
        <f t="shared" ref="H13:L13" si="11">G13</f>
        <v>68716</v>
      </c>
      <c r="I13" s="325">
        <f t="shared" si="11"/>
        <v>68716</v>
      </c>
      <c r="J13" s="325">
        <f t="shared" si="11"/>
        <v>68716</v>
      </c>
      <c r="K13" s="325">
        <f t="shared" si="11"/>
        <v>68716</v>
      </c>
      <c r="L13" s="325">
        <f t="shared" si="11"/>
        <v>68716</v>
      </c>
      <c r="M13" s="326"/>
      <c r="N13" s="326"/>
      <c r="O13" s="326"/>
      <c r="P13" s="326"/>
      <c r="Q13" s="325">
        <f t="shared" si="5"/>
        <v>274864</v>
      </c>
      <c r="R13" s="327" t="s">
        <v>338</v>
      </c>
      <c r="S13" s="323" t="s">
        <v>339</v>
      </c>
      <c r="T13" s="328"/>
    </row>
    <row r="14" spans="1:20" s="311" customFormat="1" ht="13" x14ac:dyDescent="0.3">
      <c r="A14" s="321">
        <v>9</v>
      </c>
      <c r="B14" s="322" t="str">
        <f>bpjs!C17</f>
        <v>198109012008041001</v>
      </c>
      <c r="C14" s="340" t="str">
        <f>bank!C16</f>
        <v>HADI PURWANTO</v>
      </c>
      <c r="D14" s="324">
        <f t="shared" si="1"/>
        <v>381035</v>
      </c>
      <c r="E14" s="324">
        <f t="shared" si="2"/>
        <v>381035</v>
      </c>
      <c r="F14" s="324">
        <f t="shared" si="3"/>
        <v>762070</v>
      </c>
      <c r="G14" s="325">
        <f>bank!H16</f>
        <v>76207</v>
      </c>
      <c r="H14" s="325">
        <f t="shared" ref="H14:L14" si="12">G14</f>
        <v>76207</v>
      </c>
      <c r="I14" s="325">
        <f t="shared" si="12"/>
        <v>76207</v>
      </c>
      <c r="J14" s="325">
        <f t="shared" si="12"/>
        <v>76207</v>
      </c>
      <c r="K14" s="325">
        <f t="shared" si="12"/>
        <v>76207</v>
      </c>
      <c r="L14" s="325">
        <f t="shared" si="12"/>
        <v>76207</v>
      </c>
      <c r="M14" s="326"/>
      <c r="N14" s="326"/>
      <c r="O14" s="326"/>
      <c r="P14" s="326"/>
      <c r="Q14" s="325">
        <f t="shared" si="5"/>
        <v>304828</v>
      </c>
      <c r="R14" s="327" t="s">
        <v>338</v>
      </c>
      <c r="S14" s="323" t="s">
        <v>339</v>
      </c>
      <c r="T14" s="328"/>
    </row>
    <row r="15" spans="1:20" s="311" customFormat="1" ht="13" x14ac:dyDescent="0.3">
      <c r="A15" s="321">
        <v>10</v>
      </c>
      <c r="B15" s="322" t="str">
        <f>bpjs!C18</f>
        <v>197406182006041009</v>
      </c>
      <c r="C15" s="340" t="str">
        <f>bank!C17</f>
        <v>HENDRI</v>
      </c>
      <c r="D15" s="324">
        <f t="shared" si="1"/>
        <v>0</v>
      </c>
      <c r="E15" s="324">
        <f t="shared" si="2"/>
        <v>0</v>
      </c>
      <c r="F15" s="324">
        <f t="shared" si="3"/>
        <v>0</v>
      </c>
      <c r="G15" s="325">
        <f>bank!H17</f>
        <v>0</v>
      </c>
      <c r="H15" s="325">
        <f t="shared" ref="H15:L15" si="13">G15</f>
        <v>0</v>
      </c>
      <c r="I15" s="325">
        <f t="shared" si="13"/>
        <v>0</v>
      </c>
      <c r="J15" s="325">
        <f t="shared" si="13"/>
        <v>0</v>
      </c>
      <c r="K15" s="325">
        <f t="shared" si="13"/>
        <v>0</v>
      </c>
      <c r="L15" s="325">
        <f t="shared" si="13"/>
        <v>0</v>
      </c>
      <c r="M15" s="326"/>
      <c r="N15" s="326"/>
      <c r="O15" s="326"/>
      <c r="P15" s="326"/>
      <c r="Q15" s="325">
        <f t="shared" si="5"/>
        <v>0</v>
      </c>
      <c r="R15" s="327" t="s">
        <v>338</v>
      </c>
      <c r="S15" s="323" t="s">
        <v>339</v>
      </c>
      <c r="T15" s="328"/>
    </row>
    <row r="16" spans="1:20" s="311" customFormat="1" ht="13" x14ac:dyDescent="0.3">
      <c r="A16" s="321">
        <v>11</v>
      </c>
      <c r="B16" s="322" t="str">
        <f>bpjs!C19</f>
        <v>198108252011011004</v>
      </c>
      <c r="C16" s="340" t="str">
        <f>bank!C18</f>
        <v>IFHAN FUADI</v>
      </c>
      <c r="D16" s="324">
        <f t="shared" si="1"/>
        <v>0</v>
      </c>
      <c r="E16" s="324">
        <f t="shared" si="2"/>
        <v>0</v>
      </c>
      <c r="F16" s="324">
        <f t="shared" si="3"/>
        <v>0</v>
      </c>
      <c r="G16" s="325">
        <f>bank!H18</f>
        <v>0</v>
      </c>
      <c r="H16" s="325">
        <f t="shared" ref="H16:L16" si="14">G16</f>
        <v>0</v>
      </c>
      <c r="I16" s="325">
        <f t="shared" si="14"/>
        <v>0</v>
      </c>
      <c r="J16" s="325">
        <f t="shared" si="14"/>
        <v>0</v>
      </c>
      <c r="K16" s="325">
        <f t="shared" si="14"/>
        <v>0</v>
      </c>
      <c r="L16" s="325">
        <f t="shared" si="14"/>
        <v>0</v>
      </c>
      <c r="M16" s="326"/>
      <c r="N16" s="326"/>
      <c r="O16" s="326"/>
      <c r="P16" s="326"/>
      <c r="Q16" s="325">
        <f t="shared" si="5"/>
        <v>0</v>
      </c>
      <c r="R16" s="327" t="s">
        <v>338</v>
      </c>
      <c r="S16" s="323" t="s">
        <v>339</v>
      </c>
      <c r="T16" s="328"/>
    </row>
    <row r="17" spans="1:20" s="311" customFormat="1" ht="13" x14ac:dyDescent="0.3">
      <c r="A17" s="321">
        <v>12</v>
      </c>
      <c r="B17" s="322" t="str">
        <f>bpjs!C20</f>
        <v>198108182005012011</v>
      </c>
      <c r="C17" s="340" t="str">
        <f>bank!C19</f>
        <v>INNAMA FAJARWATI</v>
      </c>
      <c r="D17" s="324">
        <f t="shared" si="1"/>
        <v>393025</v>
      </c>
      <c r="E17" s="324">
        <f t="shared" si="2"/>
        <v>393025</v>
      </c>
      <c r="F17" s="324">
        <f t="shared" si="3"/>
        <v>786050</v>
      </c>
      <c r="G17" s="325">
        <f>bank!H19</f>
        <v>78605</v>
      </c>
      <c r="H17" s="325">
        <f t="shared" ref="H17:L17" si="15">G17</f>
        <v>78605</v>
      </c>
      <c r="I17" s="325">
        <f t="shared" si="15"/>
        <v>78605</v>
      </c>
      <c r="J17" s="325">
        <f t="shared" si="15"/>
        <v>78605</v>
      </c>
      <c r="K17" s="325">
        <f t="shared" si="15"/>
        <v>78605</v>
      </c>
      <c r="L17" s="325">
        <f t="shared" si="15"/>
        <v>78605</v>
      </c>
      <c r="M17" s="326"/>
      <c r="N17" s="326"/>
      <c r="O17" s="326"/>
      <c r="P17" s="326"/>
      <c r="Q17" s="325">
        <f t="shared" si="5"/>
        <v>314420</v>
      </c>
      <c r="R17" s="327" t="s">
        <v>338</v>
      </c>
      <c r="S17" s="323" t="s">
        <v>339</v>
      </c>
      <c r="T17" s="328"/>
    </row>
    <row r="18" spans="1:20" s="311" customFormat="1" ht="13" x14ac:dyDescent="0.3">
      <c r="A18" s="321">
        <v>13</v>
      </c>
      <c r="B18" s="322" t="str">
        <f>bpjs!C21</f>
        <v>198204262010012009</v>
      </c>
      <c r="C18" s="340" t="str">
        <f>bank!C20</f>
        <v>JUMIATI</v>
      </c>
      <c r="D18" s="324">
        <f t="shared" si="1"/>
        <v>369400</v>
      </c>
      <c r="E18" s="324">
        <f t="shared" si="2"/>
        <v>369400</v>
      </c>
      <c r="F18" s="324">
        <f t="shared" si="3"/>
        <v>738800</v>
      </c>
      <c r="G18" s="325">
        <f>bank!H20</f>
        <v>73880</v>
      </c>
      <c r="H18" s="325">
        <f t="shared" ref="H18:L18" si="16">G18</f>
        <v>73880</v>
      </c>
      <c r="I18" s="325">
        <f t="shared" si="16"/>
        <v>73880</v>
      </c>
      <c r="J18" s="325">
        <f t="shared" si="16"/>
        <v>73880</v>
      </c>
      <c r="K18" s="325">
        <f t="shared" si="16"/>
        <v>73880</v>
      </c>
      <c r="L18" s="325">
        <f t="shared" si="16"/>
        <v>73880</v>
      </c>
      <c r="M18" s="326"/>
      <c r="N18" s="326"/>
      <c r="O18" s="326"/>
      <c r="P18" s="326"/>
      <c r="Q18" s="325">
        <f t="shared" si="5"/>
        <v>295520</v>
      </c>
      <c r="R18" s="327" t="s">
        <v>338</v>
      </c>
      <c r="S18" s="323" t="s">
        <v>339</v>
      </c>
      <c r="T18" s="328"/>
    </row>
    <row r="19" spans="1:20" s="311" customFormat="1" ht="13" x14ac:dyDescent="0.3">
      <c r="A19" s="321">
        <v>14</v>
      </c>
      <c r="B19" s="322" t="str">
        <f>bpjs!C22</f>
        <v>198904302012122004</v>
      </c>
      <c r="C19" s="340" t="str">
        <f>bank!C21</f>
        <v>KUSTIA APRILIA</v>
      </c>
      <c r="D19" s="324">
        <f t="shared" si="1"/>
        <v>333090</v>
      </c>
      <c r="E19" s="324">
        <f t="shared" si="2"/>
        <v>333090</v>
      </c>
      <c r="F19" s="324">
        <f t="shared" si="3"/>
        <v>666180</v>
      </c>
      <c r="G19" s="325">
        <f>bank!H21</f>
        <v>66618</v>
      </c>
      <c r="H19" s="325">
        <f t="shared" ref="H19:L19" si="17">G19</f>
        <v>66618</v>
      </c>
      <c r="I19" s="325">
        <f t="shared" si="17"/>
        <v>66618</v>
      </c>
      <c r="J19" s="325">
        <f t="shared" si="17"/>
        <v>66618</v>
      </c>
      <c r="K19" s="325">
        <f t="shared" si="17"/>
        <v>66618</v>
      </c>
      <c r="L19" s="325">
        <f t="shared" si="17"/>
        <v>66618</v>
      </c>
      <c r="M19" s="326"/>
      <c r="N19" s="326"/>
      <c r="O19" s="326"/>
      <c r="P19" s="326"/>
      <c r="Q19" s="325">
        <f t="shared" si="5"/>
        <v>266472</v>
      </c>
      <c r="R19" s="327" t="s">
        <v>338</v>
      </c>
      <c r="S19" s="323" t="s">
        <v>339</v>
      </c>
      <c r="T19" s="328"/>
    </row>
    <row r="20" spans="1:20" s="311" customFormat="1" ht="13" x14ac:dyDescent="0.3">
      <c r="A20" s="321">
        <v>15</v>
      </c>
      <c r="B20" s="322" t="str">
        <f>bpjs!C23</f>
        <v>198203272008042001</v>
      </c>
      <c r="C20" s="340" t="str">
        <f>bank!C22</f>
        <v>LINDA SUNARYA</v>
      </c>
      <c r="D20" s="324">
        <f t="shared" si="1"/>
        <v>381035</v>
      </c>
      <c r="E20" s="324">
        <f t="shared" si="2"/>
        <v>381035</v>
      </c>
      <c r="F20" s="324">
        <f t="shared" si="3"/>
        <v>762070</v>
      </c>
      <c r="G20" s="325">
        <f>bank!H22</f>
        <v>76207</v>
      </c>
      <c r="H20" s="325">
        <f t="shared" ref="H20:L20" si="18">G20</f>
        <v>76207</v>
      </c>
      <c r="I20" s="325">
        <f t="shared" si="18"/>
        <v>76207</v>
      </c>
      <c r="J20" s="325">
        <f t="shared" si="18"/>
        <v>76207</v>
      </c>
      <c r="K20" s="325">
        <f t="shared" si="18"/>
        <v>76207</v>
      </c>
      <c r="L20" s="325">
        <f t="shared" si="18"/>
        <v>76207</v>
      </c>
      <c r="M20" s="326"/>
      <c r="N20" s="326"/>
      <c r="O20" s="326"/>
      <c r="P20" s="326"/>
      <c r="Q20" s="325">
        <f t="shared" si="5"/>
        <v>304828</v>
      </c>
      <c r="R20" s="327" t="s">
        <v>338</v>
      </c>
      <c r="S20" s="323" t="s">
        <v>339</v>
      </c>
      <c r="T20" s="328"/>
    </row>
    <row r="21" spans="1:20" s="311" customFormat="1" ht="13" x14ac:dyDescent="0.3">
      <c r="A21" s="321">
        <v>16</v>
      </c>
      <c r="B21" s="322" t="str">
        <f>bpjs!C24</f>
        <v>196807211999032002</v>
      </c>
      <c r="C21" s="340" t="str">
        <f>bank!C23</f>
        <v>LISMASARI</v>
      </c>
      <c r="D21" s="324">
        <f t="shared" si="1"/>
        <v>431350</v>
      </c>
      <c r="E21" s="324">
        <f t="shared" si="2"/>
        <v>431350</v>
      </c>
      <c r="F21" s="324">
        <f t="shared" si="3"/>
        <v>862700</v>
      </c>
      <c r="G21" s="325">
        <f>bank!H23</f>
        <v>86270</v>
      </c>
      <c r="H21" s="325">
        <f t="shared" ref="H21:L21" si="19">G21</f>
        <v>86270</v>
      </c>
      <c r="I21" s="325">
        <f t="shared" si="19"/>
        <v>86270</v>
      </c>
      <c r="J21" s="325">
        <f t="shared" si="19"/>
        <v>86270</v>
      </c>
      <c r="K21" s="325">
        <f t="shared" si="19"/>
        <v>86270</v>
      </c>
      <c r="L21" s="325">
        <f t="shared" si="19"/>
        <v>86270</v>
      </c>
      <c r="M21" s="326"/>
      <c r="N21" s="326"/>
      <c r="O21" s="326"/>
      <c r="P21" s="326"/>
      <c r="Q21" s="325">
        <f t="shared" si="5"/>
        <v>345080</v>
      </c>
      <c r="R21" s="327" t="s">
        <v>338</v>
      </c>
      <c r="S21" s="323" t="s">
        <v>339</v>
      </c>
      <c r="T21" s="328"/>
    </row>
    <row r="22" spans="1:20" s="311" customFormat="1" ht="13" x14ac:dyDescent="0.3">
      <c r="A22" s="321">
        <v>18</v>
      </c>
      <c r="B22" s="322" t="str">
        <f>bpjs!C25</f>
        <v>198803192014021001</v>
      </c>
      <c r="C22" s="340" t="str">
        <f>bank!C24</f>
        <v>MARHAYSON</v>
      </c>
      <c r="D22" s="324">
        <f t="shared" si="1"/>
        <v>333090</v>
      </c>
      <c r="E22" s="324">
        <f t="shared" si="2"/>
        <v>333090</v>
      </c>
      <c r="F22" s="324">
        <f t="shared" si="3"/>
        <v>666180</v>
      </c>
      <c r="G22" s="325">
        <f>bank!H24</f>
        <v>66618</v>
      </c>
      <c r="H22" s="325">
        <f t="shared" ref="H22:L22" si="20">G22</f>
        <v>66618</v>
      </c>
      <c r="I22" s="325">
        <f t="shared" si="20"/>
        <v>66618</v>
      </c>
      <c r="J22" s="325">
        <f t="shared" si="20"/>
        <v>66618</v>
      </c>
      <c r="K22" s="325">
        <f t="shared" si="20"/>
        <v>66618</v>
      </c>
      <c r="L22" s="325">
        <f t="shared" si="20"/>
        <v>66618</v>
      </c>
      <c r="M22" s="326"/>
      <c r="N22" s="326"/>
      <c r="O22" s="326"/>
      <c r="P22" s="326"/>
      <c r="Q22" s="325">
        <f t="shared" si="5"/>
        <v>266472</v>
      </c>
      <c r="R22" s="327" t="s">
        <v>338</v>
      </c>
      <c r="S22" s="323" t="s">
        <v>339</v>
      </c>
      <c r="T22" s="328"/>
    </row>
    <row r="23" spans="1:20" s="311" customFormat="1" ht="13" x14ac:dyDescent="0.3">
      <c r="A23" s="321">
        <v>19</v>
      </c>
      <c r="B23" s="322" t="str">
        <f>bpjs!C26</f>
        <v>198502272009032001</v>
      </c>
      <c r="C23" s="340" t="str">
        <f>bank!C25</f>
        <v>MARLIYANTI</v>
      </c>
      <c r="D23" s="324">
        <f t="shared" si="1"/>
        <v>369400</v>
      </c>
      <c r="E23" s="324">
        <f t="shared" si="2"/>
        <v>369400</v>
      </c>
      <c r="F23" s="324">
        <f t="shared" si="3"/>
        <v>738800</v>
      </c>
      <c r="G23" s="325">
        <f>bank!H25</f>
        <v>73880</v>
      </c>
      <c r="H23" s="325">
        <f t="shared" ref="H23:L23" si="21">G23</f>
        <v>73880</v>
      </c>
      <c r="I23" s="325">
        <f t="shared" si="21"/>
        <v>73880</v>
      </c>
      <c r="J23" s="325">
        <f t="shared" si="21"/>
        <v>73880</v>
      </c>
      <c r="K23" s="325">
        <f t="shared" si="21"/>
        <v>73880</v>
      </c>
      <c r="L23" s="325">
        <f t="shared" si="21"/>
        <v>73880</v>
      </c>
      <c r="M23" s="326"/>
      <c r="N23" s="326"/>
      <c r="O23" s="326"/>
      <c r="P23" s="326"/>
      <c r="Q23" s="325">
        <f t="shared" si="5"/>
        <v>295520</v>
      </c>
      <c r="R23" s="327" t="s">
        <v>338</v>
      </c>
      <c r="S23" s="323" t="s">
        <v>339</v>
      </c>
      <c r="T23" s="328"/>
    </row>
    <row r="24" spans="1:20" s="311" customFormat="1" ht="13" x14ac:dyDescent="0.3">
      <c r="A24" s="321">
        <v>20</v>
      </c>
      <c r="B24" s="322" t="str">
        <f>bpjs!C27</f>
        <v>197907062006042016</v>
      </c>
      <c r="C24" s="340" t="str">
        <f>bank!C26</f>
        <v>MARNI</v>
      </c>
      <c r="D24" s="324">
        <f t="shared" si="1"/>
        <v>0</v>
      </c>
      <c r="E24" s="324">
        <f t="shared" si="2"/>
        <v>0</v>
      </c>
      <c r="F24" s="324">
        <f t="shared" si="3"/>
        <v>0</v>
      </c>
      <c r="G24" s="325">
        <f>bank!H26</f>
        <v>0</v>
      </c>
      <c r="H24" s="325">
        <f t="shared" ref="H24:L24" si="22">G24</f>
        <v>0</v>
      </c>
      <c r="I24" s="325">
        <f t="shared" si="22"/>
        <v>0</v>
      </c>
      <c r="J24" s="325">
        <f t="shared" si="22"/>
        <v>0</v>
      </c>
      <c r="K24" s="325">
        <f t="shared" si="22"/>
        <v>0</v>
      </c>
      <c r="L24" s="325">
        <f t="shared" si="22"/>
        <v>0</v>
      </c>
      <c r="M24" s="326"/>
      <c r="N24" s="326"/>
      <c r="O24" s="326"/>
      <c r="P24" s="326"/>
      <c r="Q24" s="325">
        <f t="shared" si="5"/>
        <v>0</v>
      </c>
      <c r="R24" s="327" t="s">
        <v>338</v>
      </c>
      <c r="S24" s="323" t="s">
        <v>339</v>
      </c>
      <c r="T24" s="328"/>
    </row>
    <row r="25" spans="1:20" s="311" customFormat="1" ht="13" x14ac:dyDescent="0.3">
      <c r="A25" s="321">
        <v>21</v>
      </c>
      <c r="B25" s="322" t="str">
        <f>bpjs!C28</f>
        <v>198611132010012005</v>
      </c>
      <c r="C25" s="340" t="str">
        <f>bank!C27</f>
        <v>NURWAZATTI ESA</v>
      </c>
      <c r="D25" s="324">
        <f t="shared" si="1"/>
        <v>369400</v>
      </c>
      <c r="E25" s="324">
        <f t="shared" si="2"/>
        <v>369400</v>
      </c>
      <c r="F25" s="324">
        <f t="shared" si="3"/>
        <v>738800</v>
      </c>
      <c r="G25" s="325">
        <f>bank!H27</f>
        <v>73880</v>
      </c>
      <c r="H25" s="325">
        <f t="shared" ref="H25:L25" si="23">G25</f>
        <v>73880</v>
      </c>
      <c r="I25" s="325">
        <f t="shared" si="23"/>
        <v>73880</v>
      </c>
      <c r="J25" s="325">
        <f t="shared" si="23"/>
        <v>73880</v>
      </c>
      <c r="K25" s="325">
        <f t="shared" si="23"/>
        <v>73880</v>
      </c>
      <c r="L25" s="325">
        <f t="shared" si="23"/>
        <v>73880</v>
      </c>
      <c r="M25" s="326"/>
      <c r="N25" s="326"/>
      <c r="O25" s="326"/>
      <c r="P25" s="326"/>
      <c r="Q25" s="325">
        <f t="shared" si="5"/>
        <v>295520</v>
      </c>
      <c r="R25" s="327" t="s">
        <v>338</v>
      </c>
      <c r="S25" s="323" t="s">
        <v>339</v>
      </c>
      <c r="T25" s="328"/>
    </row>
    <row r="26" spans="1:20" s="311" customFormat="1" ht="13" x14ac:dyDescent="0.3">
      <c r="A26" s="321">
        <v>22</v>
      </c>
      <c r="B26" s="322" t="str">
        <f>bpjs!C29</f>
        <v>197902192010012005</v>
      </c>
      <c r="C26" s="340" t="str">
        <f>bank!C28</f>
        <v>PADILAWATI</v>
      </c>
      <c r="D26" s="324">
        <f t="shared" si="1"/>
        <v>369400</v>
      </c>
      <c r="E26" s="324">
        <f t="shared" si="2"/>
        <v>369400</v>
      </c>
      <c r="F26" s="324">
        <f t="shared" si="3"/>
        <v>738800</v>
      </c>
      <c r="G26" s="325">
        <f>bank!H28</f>
        <v>73880</v>
      </c>
      <c r="H26" s="325">
        <f t="shared" ref="H26:L26" si="24">G26</f>
        <v>73880</v>
      </c>
      <c r="I26" s="325">
        <f t="shared" si="24"/>
        <v>73880</v>
      </c>
      <c r="J26" s="325">
        <f t="shared" si="24"/>
        <v>73880</v>
      </c>
      <c r="K26" s="325">
        <f t="shared" si="24"/>
        <v>73880</v>
      </c>
      <c r="L26" s="325">
        <f t="shared" si="24"/>
        <v>73880</v>
      </c>
      <c r="M26" s="326"/>
      <c r="N26" s="326"/>
      <c r="O26" s="326"/>
      <c r="P26" s="326"/>
      <c r="Q26" s="325">
        <f t="shared" si="5"/>
        <v>295520</v>
      </c>
      <c r="R26" s="327" t="s">
        <v>338</v>
      </c>
      <c r="S26" s="323" t="s">
        <v>339</v>
      </c>
      <c r="T26" s="328"/>
    </row>
    <row r="27" spans="1:20" s="311" customFormat="1" ht="13" x14ac:dyDescent="0.3">
      <c r="A27" s="321">
        <v>23</v>
      </c>
      <c r="B27" s="322" t="str">
        <f>bpjs!C30</f>
        <v>197608312006041006</v>
      </c>
      <c r="C27" s="340" t="str">
        <f>bank!C29</f>
        <v>RIZALDI</v>
      </c>
      <c r="D27" s="324">
        <f t="shared" si="1"/>
        <v>405405</v>
      </c>
      <c r="E27" s="324">
        <f t="shared" si="2"/>
        <v>405405</v>
      </c>
      <c r="F27" s="324">
        <f t="shared" si="3"/>
        <v>810810</v>
      </c>
      <c r="G27" s="325">
        <f>bank!H29</f>
        <v>81081</v>
      </c>
      <c r="H27" s="325">
        <f t="shared" ref="H27:L27" si="25">G27</f>
        <v>81081</v>
      </c>
      <c r="I27" s="325">
        <f t="shared" si="25"/>
        <v>81081</v>
      </c>
      <c r="J27" s="325">
        <f t="shared" si="25"/>
        <v>81081</v>
      </c>
      <c r="K27" s="325">
        <f t="shared" si="25"/>
        <v>81081</v>
      </c>
      <c r="L27" s="325">
        <f t="shared" si="25"/>
        <v>81081</v>
      </c>
      <c r="M27" s="326"/>
      <c r="N27" s="326"/>
      <c r="O27" s="326"/>
      <c r="P27" s="326"/>
      <c r="Q27" s="325">
        <f t="shared" si="5"/>
        <v>324324</v>
      </c>
      <c r="R27" s="327" t="s">
        <v>338</v>
      </c>
      <c r="S27" s="323" t="s">
        <v>339</v>
      </c>
      <c r="T27" s="328"/>
    </row>
    <row r="28" spans="1:20" s="311" customFormat="1" ht="13" x14ac:dyDescent="0.3">
      <c r="A28" s="321">
        <v>24</v>
      </c>
      <c r="B28" s="322" t="str">
        <f>bpjs!C31</f>
        <v>198112102009032002</v>
      </c>
      <c r="C28" s="340" t="str">
        <f>bank!C30</f>
        <v>SRI HANDAYANI</v>
      </c>
      <c r="D28" s="324">
        <f t="shared" si="1"/>
        <v>354405</v>
      </c>
      <c r="E28" s="324">
        <f t="shared" si="2"/>
        <v>354405</v>
      </c>
      <c r="F28" s="324">
        <f t="shared" si="3"/>
        <v>708810</v>
      </c>
      <c r="G28" s="325">
        <f>bank!H30</f>
        <v>70881</v>
      </c>
      <c r="H28" s="325">
        <f t="shared" ref="H28:L28" si="26">G28</f>
        <v>70881</v>
      </c>
      <c r="I28" s="325">
        <f t="shared" si="26"/>
        <v>70881</v>
      </c>
      <c r="J28" s="325">
        <f t="shared" si="26"/>
        <v>70881</v>
      </c>
      <c r="K28" s="325">
        <f t="shared" si="26"/>
        <v>70881</v>
      </c>
      <c r="L28" s="325">
        <f t="shared" si="26"/>
        <v>70881</v>
      </c>
      <c r="M28" s="326"/>
      <c r="N28" s="326"/>
      <c r="O28" s="326"/>
      <c r="P28" s="326"/>
      <c r="Q28" s="325">
        <f t="shared" si="5"/>
        <v>283524</v>
      </c>
      <c r="R28" s="327" t="s">
        <v>338</v>
      </c>
      <c r="S28" s="323" t="s">
        <v>339</v>
      </c>
      <c r="T28" s="328"/>
    </row>
    <row r="29" spans="1:20" s="311" customFormat="1" ht="13" x14ac:dyDescent="0.3">
      <c r="A29" s="321">
        <v>25</v>
      </c>
      <c r="B29" s="322" t="str">
        <f>bpjs!C32</f>
        <v>197708262006041005</v>
      </c>
      <c r="C29" s="340" t="str">
        <f>bank!C31</f>
        <v>SYAHRYANTO</v>
      </c>
      <c r="D29" s="324">
        <f t="shared" si="1"/>
        <v>393025</v>
      </c>
      <c r="E29" s="324">
        <f t="shared" si="2"/>
        <v>393025</v>
      </c>
      <c r="F29" s="324">
        <f t="shared" si="3"/>
        <v>786050</v>
      </c>
      <c r="G29" s="325">
        <f>bank!H31</f>
        <v>78605</v>
      </c>
      <c r="H29" s="325">
        <f t="shared" ref="H29:L29" si="27">G29</f>
        <v>78605</v>
      </c>
      <c r="I29" s="325">
        <f t="shared" si="27"/>
        <v>78605</v>
      </c>
      <c r="J29" s="325">
        <f t="shared" si="27"/>
        <v>78605</v>
      </c>
      <c r="K29" s="325">
        <f t="shared" si="27"/>
        <v>78605</v>
      </c>
      <c r="L29" s="325">
        <f t="shared" si="27"/>
        <v>78605</v>
      </c>
      <c r="M29" s="326"/>
      <c r="N29" s="326"/>
      <c r="O29" s="326"/>
      <c r="P29" s="326"/>
      <c r="Q29" s="325">
        <f t="shared" si="5"/>
        <v>314420</v>
      </c>
      <c r="R29" s="327" t="s">
        <v>338</v>
      </c>
      <c r="S29" s="323" t="s">
        <v>339</v>
      </c>
      <c r="T29" s="328"/>
    </row>
    <row r="30" spans="1:20" s="311" customFormat="1" ht="13" x14ac:dyDescent="0.3">
      <c r="A30" s="321">
        <v>26</v>
      </c>
      <c r="B30" s="322" t="str">
        <f>bpjs!C33</f>
        <v>197009032009032001</v>
      </c>
      <c r="C30" s="340" t="str">
        <f>bank!C32</f>
        <v>SYAMSIAH</v>
      </c>
      <c r="D30" s="324">
        <f t="shared" si="1"/>
        <v>0</v>
      </c>
      <c r="E30" s="324">
        <f t="shared" si="2"/>
        <v>0</v>
      </c>
      <c r="F30" s="324">
        <f t="shared" si="3"/>
        <v>0</v>
      </c>
      <c r="G30" s="325">
        <f>bank!H32</f>
        <v>0</v>
      </c>
      <c r="H30" s="325">
        <f t="shared" ref="H30:L30" si="28">G30</f>
        <v>0</v>
      </c>
      <c r="I30" s="325">
        <f t="shared" si="28"/>
        <v>0</v>
      </c>
      <c r="J30" s="325">
        <f t="shared" si="28"/>
        <v>0</v>
      </c>
      <c r="K30" s="325">
        <f t="shared" si="28"/>
        <v>0</v>
      </c>
      <c r="L30" s="325">
        <f t="shared" si="28"/>
        <v>0</v>
      </c>
      <c r="M30" s="326"/>
      <c r="N30" s="326"/>
      <c r="O30" s="326"/>
      <c r="P30" s="326"/>
      <c r="Q30" s="325">
        <f t="shared" si="5"/>
        <v>0</v>
      </c>
      <c r="R30" s="327" t="s">
        <v>338</v>
      </c>
      <c r="S30" s="323" t="s">
        <v>339</v>
      </c>
      <c r="T30" s="328"/>
    </row>
    <row r="31" spans="1:20" s="311" customFormat="1" ht="13" x14ac:dyDescent="0.3">
      <c r="A31" s="321">
        <v>27</v>
      </c>
      <c r="B31" s="322" t="str">
        <f>bpjs!C34</f>
        <v>197505042010011017</v>
      </c>
      <c r="C31" s="340" t="str">
        <f>bank!C33</f>
        <v>TOTOK SUPRIJADI</v>
      </c>
      <c r="D31" s="324">
        <f t="shared" si="1"/>
        <v>369400</v>
      </c>
      <c r="E31" s="324">
        <f t="shared" si="2"/>
        <v>369400</v>
      </c>
      <c r="F31" s="324">
        <f t="shared" si="3"/>
        <v>738800</v>
      </c>
      <c r="G31" s="325">
        <f>bank!H33</f>
        <v>73880</v>
      </c>
      <c r="H31" s="325">
        <f t="shared" ref="H31:L31" si="29">G31</f>
        <v>73880</v>
      </c>
      <c r="I31" s="325">
        <f t="shared" si="29"/>
        <v>73880</v>
      </c>
      <c r="J31" s="325">
        <f t="shared" si="29"/>
        <v>73880</v>
      </c>
      <c r="K31" s="325">
        <f t="shared" si="29"/>
        <v>73880</v>
      </c>
      <c r="L31" s="325">
        <f t="shared" si="29"/>
        <v>73880</v>
      </c>
      <c r="M31" s="326"/>
      <c r="N31" s="326"/>
      <c r="O31" s="326"/>
      <c r="P31" s="326"/>
      <c r="Q31" s="325">
        <f t="shared" si="5"/>
        <v>295520</v>
      </c>
      <c r="R31" s="327" t="s">
        <v>338</v>
      </c>
      <c r="S31" s="323" t="s">
        <v>339</v>
      </c>
      <c r="T31" s="328"/>
    </row>
    <row r="32" spans="1:20" s="311" customFormat="1" ht="13" x14ac:dyDescent="0.3">
      <c r="A32" s="330">
        <v>28</v>
      </c>
      <c r="B32" s="331" t="str">
        <f>bpjs!C35</f>
        <v>198008292009032001</v>
      </c>
      <c r="C32" s="341" t="str">
        <f>bank!C34</f>
        <v>YOPA AGUSTINA</v>
      </c>
      <c r="D32" s="333">
        <f t="shared" si="1"/>
        <v>354405</v>
      </c>
      <c r="E32" s="333">
        <f t="shared" si="2"/>
        <v>354405</v>
      </c>
      <c r="F32" s="333">
        <f t="shared" si="3"/>
        <v>708810</v>
      </c>
      <c r="G32" s="334">
        <f>bank!H34</f>
        <v>70881</v>
      </c>
      <c r="H32" s="334">
        <f t="shared" ref="H32:L32" si="30">G32</f>
        <v>70881</v>
      </c>
      <c r="I32" s="334">
        <f t="shared" si="30"/>
        <v>70881</v>
      </c>
      <c r="J32" s="334">
        <f t="shared" si="30"/>
        <v>70881</v>
      </c>
      <c r="K32" s="334">
        <f t="shared" si="30"/>
        <v>70881</v>
      </c>
      <c r="L32" s="334">
        <f t="shared" si="30"/>
        <v>70881</v>
      </c>
      <c r="M32" s="335"/>
      <c r="N32" s="335"/>
      <c r="O32" s="335"/>
      <c r="P32" s="335"/>
      <c r="Q32" s="334">
        <f t="shared" si="5"/>
        <v>283524</v>
      </c>
      <c r="R32" s="336" t="s">
        <v>338</v>
      </c>
      <c r="S32" s="332" t="s">
        <v>339</v>
      </c>
      <c r="T32" s="337"/>
    </row>
    <row r="33" spans="1:20" s="311" customFormat="1" ht="13" x14ac:dyDescent="0.3">
      <c r="A33" s="397" t="s">
        <v>67</v>
      </c>
      <c r="B33" s="398"/>
      <c r="C33" s="399"/>
      <c r="D33" s="338">
        <f>SUM(D6:D32)</f>
        <v>7800805</v>
      </c>
      <c r="E33" s="338">
        <f t="shared" ref="E33:Q33" si="31">SUM(E6:E32)</f>
        <v>7800805</v>
      </c>
      <c r="F33" s="338">
        <f t="shared" si="31"/>
        <v>15601610</v>
      </c>
      <c r="G33" s="338">
        <f t="shared" si="31"/>
        <v>1560161</v>
      </c>
      <c r="H33" s="338">
        <f t="shared" si="31"/>
        <v>1560161</v>
      </c>
      <c r="I33" s="338">
        <f t="shared" si="31"/>
        <v>1560161</v>
      </c>
      <c r="J33" s="338">
        <f t="shared" si="31"/>
        <v>1560161</v>
      </c>
      <c r="K33" s="338">
        <f t="shared" si="31"/>
        <v>1560161</v>
      </c>
      <c r="L33" s="338">
        <f t="shared" si="31"/>
        <v>1560161</v>
      </c>
      <c r="M33" s="338">
        <f t="shared" si="31"/>
        <v>0</v>
      </c>
      <c r="N33" s="338">
        <f t="shared" si="31"/>
        <v>0</v>
      </c>
      <c r="O33" s="338">
        <f t="shared" si="31"/>
        <v>0</v>
      </c>
      <c r="P33" s="338">
        <f t="shared" si="31"/>
        <v>0</v>
      </c>
      <c r="Q33" s="338">
        <f t="shared" si="31"/>
        <v>6240644</v>
      </c>
      <c r="R33" s="336"/>
      <c r="S33" s="332"/>
      <c r="T33" s="337"/>
    </row>
    <row r="34" spans="1:20" x14ac:dyDescent="0.35">
      <c r="G34" s="312"/>
    </row>
  </sheetData>
  <mergeCells count="12">
    <mergeCell ref="E4:E5"/>
    <mergeCell ref="F4:F5"/>
    <mergeCell ref="A33:C33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3">
    <cfRule type="cellIs" dxfId="31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2026-08-06T03:45:12Z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
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AFBDEDBC-906B-48C7-8892-014930986185}" xr6:coauthVersionLast="47" xr6:coauthVersionMax="47" xr10:uidLastSave="{00000000-0000-0000-0000-000000000000}"/>
  <bookViews>
    <workbookView xWindow="-110" yWindow="-110" windowWidth="19420" windowHeight="11020" tabRatio="826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H9" i="5" l="1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<sst xmlns="http://schemas.openxmlformats.org/spreadsheetml/2006/main" count="919" uniqueCount="417">
  <si>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</si>
  <si>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</si>
  <si>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</si>
  <si>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</si>
  <si>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</si>
  <si>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</si>
  <si>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</si>
  <si>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</si>
  <si>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</si>
  <si>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</si>
  <si>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</si>
  <si>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</si>
  <si>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</si>
  <si>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</si>
  <si>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</si>
  <si>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</si>
  <si>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</si>
  <si>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</si>
  <si>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</si>
  <si>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</si>
  <si>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</si>
  <si>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</si>
  <si>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</si>
  <si>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</si>
  <si>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</si>
  <si>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</si>
  <si>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</si>
  <si>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</si>
  <si>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</si>
  <si>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</si>
  <si>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</si>
  <si>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</si>
  <si>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</si>
  <si>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</si>
  <si>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</si>
  <si>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</si>
  <si>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</si>
  <si>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</si>
  <si>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</si>
  <si>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</si>
  <si>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</si>
  <si>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</si>
  <si>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</si>
  <si>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</si>
  <si>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</si>
  <si>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</si>
  <si>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</si>
  <si>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</si>
  <si>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</si>
  <si>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</si>
  <si>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</si>
  <si>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</si>
  <si>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</si>
  <si>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</si>
  <si>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</si>
  <si>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</si>
  <si>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</si>
  <si>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</si>
  <si>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</si>
  <si>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</si>
  <si>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</si>
  <si>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</si>
  <si>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</si>
  <si>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</si>
  <si>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</si>
  <si>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</si>
  <si>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</si>
  <si>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</si>
  <si>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</si>
  <si>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</si>
  <si>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</si>
  <si>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</si>
  <si>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</si>
  <si>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</si>
  <si>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</si>
  <si>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</si>
  <si>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</si>
  <si>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</si>
  <si>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</si>
  <si>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</si>
  <si>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</si>
  <si>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</si>
  <si>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</si>
  <si>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</si>
  <si>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</si>
  <si>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</si>
  <si>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</si>
  <si>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</si>
  <si>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</si>
  <si>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</si>
  <si>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</si>
  <si>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</si>
  <si>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</si>
  <si>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</si>
  <si>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</si>
  <si>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</si>
  <si>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</si>
  <si>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</si>
  <si>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</si>
  <si>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</si>
  <si>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</si>
  <si>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</si>
  <si>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</si>
  <si>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</si>
  <si>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</si>
  <si>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</si>
  <si>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</si>
  <si>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</si>
  <si>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</si>
  <si>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</si>
  <si>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</si>
  <si>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</si>
  <si>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</si>
  <si>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</si>
  <si>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</si>
  <si>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</si>
  <si>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</si>
  <si>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</si>
  <si>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</si>
  <si>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</si>
  <si>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</si>
  <si>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</si>
  <si>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</si>
  <si>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</si>
  <si>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</si>
  <si>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</si>
  <si>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</si>
  <si>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</si>
  <si>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</si>
  <si>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</si>
  <si>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</si>
  <si>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</si>
  <si>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</si>
  <si>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</si>
  <si>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</si>
  <si>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</si>
  <si>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</si>
  <si>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</si>
  <si>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</si>
  <si>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</si>
  <si>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</si>
  <si>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</si>
  <si>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</si>
  <si>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</si>
  <si>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</si>
  <si>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</si>
  <si>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</si>
  <si>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</si>
  <si>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</si>
  <si>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</si>
  <si>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</si>
  <si>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</si>
  <si>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</si>
  <si>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</si>
  <si>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</si>
  <si>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</si>
  <si>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</si>
  <si>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</si>
  <si>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</si>
  <si>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</si>
  <si>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</si>
  <si>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</si>
  <si>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</si>
  <si>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</si>
  <si>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</si>
  <si>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</si>
  <si>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</si>
  <si>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</si>
  <si>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</si>
  <si>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</si>
  <si>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</si>
  <si>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</si>
  <si>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</si>
  <si>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</si>
  <si>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</si>
  <si>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</si>
  <si>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</si>
  <si>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</si>
  <si>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</si>
  <si>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</si>
  <si>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</si>
  <si>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</si>
  <si>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</si>
  <si>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</si>
  <si>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</si>
  <si>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</si>
  <si>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</si>
  <si>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</si>
  <si>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</si>
  <si>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</si>
  <si>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</si>
  <si>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</si>
  <si>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</si>
  <si>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</si>
  <si>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</si>
  <si>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</si>
  <si>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</si>
  <si>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</si>
  <si>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</si>
  <si>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</si>
  <si>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</si>
  <si>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</si>
  <si>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</si>
  <si>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</si>
  <si>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</si>
  <si>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</si>
  <si>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</si>
  <si>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</si>
  <si>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</si>
  <si>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</si>
  <si>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</si>
  <si>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</si>
  <si>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</si>
  <si>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</si>
  <si>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</si>
  <si>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</si>
  <si>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</si>
  <si>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</si>
  <si>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</si>
  <si>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</si>
  <si>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</si>
  <si>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</si>
  <si>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</si>
  <si>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</si>
  <si>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</si>
  <si>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</si>
  <si>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</si>
  <si>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</si>
  <si>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</si>
  <si>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</si>
  <si>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</si>
  <si>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</si>
  <si>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</si>
  <si>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</si>
  <si>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</si>
  <si>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</si>
  <si>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</si>
  <si>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</si>
  <si>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</si>
  <si>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</si>
  <si>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</si>
  <si>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</si>
  <si>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</si>
  <si>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</si>
  <si>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</si>
  <si>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</si>
  <si>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</si>
  <si>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</si>
  <si>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</si>
  <si>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</si>
  <si>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</si>
  <si>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</si>
  <si>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</si>
  <si>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</si>
  <si>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</si>
  <si>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</si>
  <si>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</si>
  <si>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</si>
  <si>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</si>
  <si>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</si>
  <si>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</si>
  <si>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</si>
  <si>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</si>
  <si>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</si>
  <si>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</si>
  <si>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</si>
  <si>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</si>
  <si>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</si>
  <si>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</si>
  <si>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</si>
  <si>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</si>
  <si>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</si>
  <si>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</si>
  <si>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</si>
  <si>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</si>
  <si>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</si>
  <si>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</si>
  <si>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</si>
  <si>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</si>
  <si>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</si>
  <si>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</si>
  <si>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</si>
  <si>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</si>
  <si>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</si>
  <si>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</si>
  <si>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</si>
  <si>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</si>
  <si>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</si>
  <si>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</si>
  <si>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</si>
  <si>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</si>
  <si>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</si>
  <si>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</si>
  <si>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</si>
  <si>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</si>
  <si>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</si>
  <si>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</si>
  <si>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</si>
  <si>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</si>
  <si>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</si>
  <si>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</si>
  <si>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</si>
  <si>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</si>
  <si>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</si>
  <si>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</si>
  <si>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</si>
  <si>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</si>
  <si>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</si>
  <si>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</si>
  <si>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</si>
  <si>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</si>
  <si>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</si>
  <si>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</si>
  <si>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</si>
  <si>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</si>
  <si>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</si>
  <si>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</si>
  <si>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</si>
  <si>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</si>
  <si>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</si>
  <si>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</si>
  <si>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</si>
  <si>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</si>
  <si>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</si>
  <si>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</si>
  <si>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</si>
  <si>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</si>
  <si>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</si>
  <si>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</si>
  <si>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</si>
  <si>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</si>
  <si>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</si>
  <si>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</si>
  <si>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</si>
  <si>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</si>
  <si>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</si>
  <si>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</si>
  <si>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</si>
  <si>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</si>
  <si>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</si>
  <si>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</si>
  <si>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</si>
  <si>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</si>
  <si>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</si>
  <si>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</si>
  <si>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</si>
  <si>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</si>
  <si>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</si>
  <si>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</si>
  <si>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</si>
  <si>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</si>
  <si>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</si>
  <si>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</si>
  <si>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</si>
  <si>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</si>
  <si>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</si>
  <si>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</si>
  <si>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</si>
  <si>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</si>
  <si>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</si>
  <si>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</si>
  <si>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</si>
  <si>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</si>
  <si>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</si>
  <si>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</si>
  <si>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</si>
  <si>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</si>
  <si>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</si>
  <si>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</si>
  <si>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</si>
  <si>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</si>
  <si>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</si>
  <si>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</si>
  <si>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</si>
  <si>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</si>
  <si>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</si>
  <si>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</si>
  <si>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</si>
  <si>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</si>
  <si>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</si>
  <si>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</si>
  <si>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</si>
  <si>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</si>
  <si>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</si>
  <si>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</si>
  <si>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</si>
  <si>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</si>
  <si>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</si>
  <si>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</si>
  <si>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</si>
  <si>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14-09-1986</t>
  </si>
  <si>
    <t>17-07-1999</t>
  </si>
  <si>
    <t>22-01-1990</t>
  </si>
  <si>
    <t>24-04-1993</t>
  </si>
  <si>
    <t>15-03-1981</t>
  </si>
  <si>
    <t>30-09-1988</t>
  </si>
  <si>
    <t>15-10-1984</t>
  </si>
  <si>
    <t>28-12-1986</t>
  </si>
  <si>
    <t>18-06-1974</t>
  </si>
  <si>
    <t>25-08-1981</t>
  </si>
  <si>
    <t>18-08-1981</t>
  </si>
  <si>
    <t>29-09-1989</t>
  </si>
  <si>
    <t>30-06-1995</t>
  </si>
  <si>
    <t>26-04-1982</t>
  </si>
  <si>
    <t>30-04-1989</t>
  </si>
  <si>
    <t>27-06-1986</t>
  </si>
  <si>
    <t>27-03-1982</t>
  </si>
  <si>
    <t>21-07-1968</t>
  </si>
  <si>
    <t>19-03-1988</t>
  </si>
  <si>
    <t>27-02-1985</t>
  </si>
  <si>
    <t>13-11-1986</t>
  </si>
  <si>
    <t>19-02-1979</t>
  </si>
  <si>
    <t>18-07-1992</t>
  </si>
  <si>
    <t>31-08-1976</t>
  </si>
  <si>
    <t>23-12-1994</t>
  </si>
  <si>
    <t>26-08-1977</t>
  </si>
  <si>
    <t>29-08-1980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</si>
</sst>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  <xf numFmtId="14" fontId="0" fillId="0" borderId="0" xfId="0" applyNumberFormat="1" applyFont="1" applyAlignment="1"/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25"/>
    <tableColumn id="8" xr3:uid="{CECCB7B7-5A03-4CCB-B0FC-BE86DDAD655F}" uniqueName="8" name="NIP" queryTableFieldId="8" dataDxfId="24"/>
    <tableColumn id="9" xr3:uid="{924B9411-5F73-465B-832E-B629B2EAEF02}" uniqueName="9" name="TGL_LAHIR" queryTableFieldId="9" dataDxfId="23"/>
    <tableColumn id="10" xr3:uid="{FEE9BF86-5EC7-4D78-B0C0-07A88F955FFF}" uniqueName="10" name="NPWP" queryTableFieldId="10" dataDxfId="22"/>
    <tableColumn id="11" xr3:uid="{42ABBCEB-5461-4734-A879-C00182EED12A}" uniqueName="11" name="NO_REKENING" queryTableFieldId="11" dataDxfId="21"/>
    <tableColumn id="12" xr3:uid="{9F6F8E94-B8F0-4827-B86A-EE739B458DD6}" uniqueName="12" name="UNIT_KERJA" queryTableFieldId="12" dataDxfId="20"/>
    <tableColumn id="13" xr3:uid="{5DFFDD98-E9D8-42AE-BB9F-FC24F82E2C7A}" uniqueName="13" name="GAJI_NET" queryTableFieldId="13" dataDxfId="19"/>
    <tableColumn id="14" xr3:uid="{BEA0E7E6-A8EB-4872-8197-E5B5EF21F721}" uniqueName="14" name="JUMLAH_ANAK" queryTableFieldId="14" dataDxfId="18"/>
    <tableColumn id="15" xr3:uid="{E87A4625-A848-4A8F-A2DF-B01786AC4E9B}" uniqueName="15" name="BEBAN_KERJA" queryTableFieldId="15" dataDxfId="17"/>
    <tableColumn id="16" xr3:uid="{E41B2A06-AB5C-4E1B-9099-11BF5A0ABFEB}" uniqueName="16" name="TEMPAT_BERTUGAS" queryTableFieldId="16" dataDxfId="16"/>
    <tableColumn id="31" xr3:uid="{D9AA60BD-C8CF-4C4E-8B2E-6748D0B4DF8D}" uniqueName="31" name="KONDISI_KERJA" queryTableFieldId="31" dataDxfId="15"/>
    <tableColumn id="17" xr3:uid="{AD9E7808-EB00-4A6A-BA6D-8AB4D748D96C}" uniqueName="17" name="PRESTASI_KERJA" queryTableFieldId="17" dataDxfId="14"/>
    <tableColumn id="32" xr3:uid="{3CD6730F-6EB0-41C1-B4F6-5799EF1327FD}" uniqueName="32" name="KELANGKAAN_PROFESI" queryTableFieldId="32" dataDxfId="13"/>
    <tableColumn id="18" xr3:uid="{DA616222-5705-44B1-9386-71F70187C6AD}" uniqueName="18" name="NIK PEGAWAI" queryTableFieldId="18" dataDxfId="12"/>
    <tableColumn id="19" xr3:uid="{4039FB30-EE7E-47BE-9A5D-12EB8EA4FCDF}" uniqueName="19" name="TIPE JABATAN" queryTableFieldId="19" dataDxfId="11"/>
    <tableColumn id="20" xr3:uid="{71EBC85A-3B7A-4FA2-9447-53FDDC3AF0FE}" uniqueName="20" name="STATUS ASN" queryTableFieldId="20" dataDxfId="10"/>
    <tableColumn id="22" xr3:uid="{1248B4AC-D290-4E55-955E-C2004CCF1995}" uniqueName="22" name="MASA KERJA GOLONGAN" queryTableFieldId="22" dataDxfId="9"/>
    <tableColumn id="23" xr3:uid="{A7E133BC-686D-4321-BBF1-0A6784586F15}" uniqueName="23" name="ALAMAT" queryTableFieldId="23" dataDxfId="8"/>
    <tableColumn id="24" xr3:uid="{C78DCB04-6C63-4614-9EC6-0422FB589EB5}" uniqueName="24" name="STATUS PERNIKAHAN" queryTableFieldId="24" dataDxfId="7"/>
    <tableColumn id="25" xr3:uid="{C901433F-768F-411D-B85D-26D76F250BF6}" uniqueName="25" name="JUMLAH ISTRI_SUAMI" queryTableFieldId="25" dataDxfId="6"/>
    <tableColumn id="26" xr3:uid="{6494843B-1DE1-4B69-819E-E902C8841452}" uniqueName="26" name="JUMLAH ANAK" queryTableFieldId="26" dataDxfId="5"/>
    <tableColumn id="27" xr3:uid="{45407801-EE7E-4965-99F1-FBF9A35CC16D}" uniqueName="27" name="NAMA BANK" queryTableFieldId="27" dataDxfId="4"/>
    <tableColumn id="28" xr3:uid="{BE3FD433-F330-4416-A511-BDCEDD18EF09}" uniqueName="28" name="NOMOR REKENING BANK PEGAWAI" queryTableFieldId="28" dataDxfId="3"/>
    <tableColumn id="29" xr3:uid="{0E192986-1F3F-426A-AA66-5D65F2BDDA48}" uniqueName="29" name="UNIT KERJA" queryTableFieldId="29" dataDxfId="2"/>
    <tableColumn id="30" xr3:uid="{B81CD542-90BA-4BEF-A222-AD75559E27CE}" uniqueName="30" name="JANUARI" queryTableFieldId="3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D9" sqref="D9:D3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57" t="s">
        <v>1</v>
      </c>
      <c r="B2" s="357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57" t="s">
        <v>2</v>
      </c>
      <c r="B3" s="357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57" t="s">
        <v>3</v>
      </c>
      <c r="B4" s="357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1" t="s">
        <v>4</v>
      </c>
      <c r="B6" s="346" t="s">
        <v>5</v>
      </c>
      <c r="C6" s="346" t="s">
        <v>6</v>
      </c>
      <c r="D6" s="347" t="s">
        <v>7</v>
      </c>
      <c r="E6" s="347" t="s">
        <v>8</v>
      </c>
      <c r="F6" s="346" t="s">
        <v>9</v>
      </c>
      <c r="G6" s="351" t="s">
        <v>10</v>
      </c>
      <c r="H6" s="353" t="s">
        <v>11</v>
      </c>
      <c r="I6" s="344" t="s">
        <v>12</v>
      </c>
      <c r="J6" s="355" t="s">
        <v>13</v>
      </c>
      <c r="K6" s="344" t="s">
        <v>14</v>
      </c>
      <c r="L6" s="349" t="s">
        <v>15</v>
      </c>
      <c r="M6" s="350"/>
      <c r="N6" s="344" t="s">
        <v>16</v>
      </c>
      <c r="O6" s="344" t="s">
        <v>17</v>
      </c>
      <c r="P6" s="344" t="s">
        <v>18</v>
      </c>
      <c r="Q6" s="346" t="s">
        <v>19</v>
      </c>
      <c r="R6" s="344" t="s">
        <v>20</v>
      </c>
      <c r="S6" s="342" t="s">
        <v>21</v>
      </c>
    </row>
    <row r="7" spans="1:19" ht="14.25" customHeight="1" x14ac:dyDescent="0.35">
      <c r="A7" s="345"/>
      <c r="B7" s="345"/>
      <c r="C7" s="345"/>
      <c r="D7" s="352"/>
      <c r="E7" s="345"/>
      <c r="F7" s="345"/>
      <c r="G7" s="345"/>
      <c r="H7" s="354"/>
      <c r="I7" s="348"/>
      <c r="J7" s="356"/>
      <c r="K7" s="348"/>
      <c r="L7" s="147">
        <v>0.04</v>
      </c>
      <c r="M7" s="148">
        <v>0.01</v>
      </c>
      <c r="N7" s="345"/>
      <c r="O7" s="345"/>
      <c r="P7" s="345"/>
      <c r="Q7" s="345"/>
      <c r="R7" s="345"/>
      <c r="S7" s="343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NIP tidak ditemukan</v>
      </c>
      <c r="D9" s="152" t="str">
        <f>IFERROR(INDEX(rekap_tpp[], MATCH(MID(B9, FIND("NIP.", B9) + 4, LEN(B9)), INDEX(rekap_tpp[], 0, 8), 0), 20), "NIP tidak ditemukan")</f>
        <v>NIP tidak ditemukan</v>
      </c>
      <c r="E9" s="152" t="str">
        <f>IFERROR(INDEX(rekap_tpp[], MATCH(MID(B9, FIND("NIP.", B9) + 4, LEN(B9)), INDEX(rekap_tpp[], 0, 8), 0), 3), "NIP tidak ditemukan")</f>
        <v>NIP tidak ditemukan</v>
      </c>
      <c r="F9" s="153" t="str">
        <f>IFERROR(INDEX(rekap_tpp[], MATCH(MID(B9, FIND("NIP.", B9) + 4, LEN(B9)), INDEX(rekap_tpp[], 0, 8), 0), 2), "NIP tidak ditemukan")</f>
        <v>NIP tidak ditemukan</v>
      </c>
      <c r="G9" s="154" t="str">
        <f>IFERROR(INDEX(rekap_tpp[], MATCH(MID(B9, FIND("NIP.", B9) + 4, LEN(B9)), INDEX(rekap_tpp[], 0, 8), 0), 13), "NIP tidak ditemukan")</f>
        <v>NIP tidak ditemukan</v>
      </c>
      <c r="H9" s="155" t="str">
        <f>IFERROR(INDEX(rekap_tpp[], MATCH(MID(B9, FIND("NIP.", B9) + 4, LEN(B9)), INDEX(rekap_tpp[], 0, 8), 0), 5), "NIP tidak ditemukan")</f>
        <v>NIP tidak ditemukan</v>
      </c>
      <c r="I9" s="156" t="str">
        <f>IFERROR(INDEX(rekap_tpp[], MATCH(MID(B9, FIND("NIP.", B9) + 4, LEN(B9)), INDEX(rekap_tpp[], 0, 8), 0), 6), "NIP tidak ditemukan")</f>
        <v>NIP tidak ditemukan</v>
      </c>
      <c r="J9" s="157">
        <v>0</v>
      </c>
      <c r="K9" s="154" t="str">
        <f t="shared" ref="K9:K14" si="0">H9</f>
        <v>NIP tidak ditemukan</v>
      </c>
      <c r="L9" s="154" t="e">
        <f t="shared" ref="L9:L14" si="1">4*M9</f>
        <v>#VALUE!</v>
      </c>
      <c r="M9" s="154" t="e">
        <f t="shared" ref="M9:M14" si="2">1%*K9</f>
        <v>#VALUE!</v>
      </c>
      <c r="N9" s="154" t="e">
        <f>H9-I9-M9</f>
        <v>#VALUE!</v>
      </c>
      <c r="O9" s="154"/>
      <c r="P9" s="154" t="e">
        <f t="shared" ref="P9:P14" si="3">N9-O9</f>
        <v>#VALUE!</v>
      </c>
      <c r="Q9" s="154">
        <v>0</v>
      </c>
      <c r="R9" s="158" t="e">
        <f t="shared" ref="R9:R14" si="4">P9-Q9</f>
        <v>#VALUE!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NIP tidak ditemukan</v>
      </c>
      <c r="D10" s="152" t="str">
        <f>IFERROR(INDEX(rekap_tpp[], MATCH(MID(B10, FIND("NIP.", B10) + 4, LEN(B10)), INDEX(rekap_tpp[], 0, 8), 0), 20), "NIP tidak ditemukan")</f>
        <v>NIP tidak ditemukan</v>
      </c>
      <c r="E10" s="152" t="str">
        <f>IFERROR(INDEX(rekap_tpp[], MATCH(MID(B10, FIND("NIP.", B10) + 4, LEN(B10)), INDEX(rekap_tpp[], 0, 8), 0), 3), "NIP tidak ditemukan")</f>
        <v>NIP tidak ditemukan</v>
      </c>
      <c r="F10" s="153" t="str">
        <f>IFERROR(INDEX(rekap_tpp[], MATCH(MID(B10, FIND("NIP.", B10) + 4, LEN(B10)), INDEX(rekap_tpp[], 0, 8), 0), 2), "NIP tidak ditemukan")</f>
        <v>NIP tidak ditemukan</v>
      </c>
      <c r="G10" s="154" t="str">
        <f>IFERROR(INDEX(rekap_tpp[], MATCH(MID(B10, FIND("NIP.", B10) + 4, LEN(B10)), INDEX(rekap_tpp[], 0, 8), 0), 13), "NIP tidak ditemukan")</f>
        <v>NIP tidak ditemukan</v>
      </c>
      <c r="H10" s="155" t="str">
        <f>IFERROR(INDEX(rekap_tpp[], MATCH(MID(B10, FIND("NIP.", B10) + 4, LEN(B10)), INDEX(rekap_tpp[], 0, 8), 0), 5), "NIP tidak ditemukan")</f>
        <v>NIP tidak ditemukan</v>
      </c>
      <c r="I10" s="156" t="str">
        <f>IFERROR(INDEX(rekap_tpp[], MATCH(MID(B10, FIND("NIP.", B10) + 4, LEN(B10)), INDEX(rekap_tpp[], 0, 8), 0), 6), "NIP tidak ditemukan")</f>
        <v>NIP tidak ditemukan</v>
      </c>
      <c r="J10" s="157">
        <v>0</v>
      </c>
      <c r="K10" s="154" t="str">
        <f t="shared" si="0"/>
        <v>NIP tidak ditemukan</v>
      </c>
      <c r="L10" s="154" t="e">
        <f t="shared" si="1"/>
        <v>#VALUE!</v>
      </c>
      <c r="M10" s="154" t="e">
        <f t="shared" si="2"/>
        <v>#VALUE!</v>
      </c>
      <c r="N10" s="154" t="e">
        <f t="shared" ref="N10:N14" si="5">H10-I10-M10</f>
        <v>#VALUE!</v>
      </c>
      <c r="O10" s="154"/>
      <c r="P10" s="154" t="e">
        <f t="shared" si="3"/>
        <v>#VALUE!</v>
      </c>
      <c r="Q10" s="154">
        <v>0</v>
      </c>
      <c r="R10" s="158" t="e">
        <f t="shared" si="4"/>
        <v>#VALUE!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NIP tidak ditemukan</v>
      </c>
      <c r="D11" s="152" t="str">
        <f>IFERROR(INDEX(rekap_tpp[], MATCH(MID(B11, FIND("NIP.", B11) + 4, LEN(B11)), INDEX(rekap_tpp[], 0, 8), 0), 20), "NIP tidak ditemukan")</f>
        <v>NIP tidak ditemukan</v>
      </c>
      <c r="E11" s="152" t="str">
        <f>IFERROR(INDEX(rekap_tpp[], MATCH(MID(B11, FIND("NIP.", B11) + 4, LEN(B11)), INDEX(rekap_tpp[], 0, 8), 0), 3), "NIP tidak ditemukan")</f>
        <v>NIP tidak ditemukan</v>
      </c>
      <c r="F11" s="153" t="str">
        <f>IFERROR(INDEX(rekap_tpp[], MATCH(MID(B11, FIND("NIP.", B11) + 4, LEN(B11)), INDEX(rekap_tpp[], 0, 8), 0), 2), "NIP tidak ditemukan")</f>
        <v>NIP tidak ditemukan</v>
      </c>
      <c r="G11" s="154" t="str">
        <f>IFERROR(INDEX(rekap_tpp[], MATCH(MID(B11, FIND("NIP.", B11) + 4, LEN(B11)), INDEX(rekap_tpp[], 0, 8), 0), 13), "NIP tidak ditemukan")</f>
        <v>NIP tidak ditemukan</v>
      </c>
      <c r="H11" s="155" t="str">
        <f>IFERROR(INDEX(rekap_tpp[], MATCH(MID(B11, FIND("NIP.", B11) + 4, LEN(B11)), INDEX(rekap_tpp[], 0, 8), 0), 5), "NIP tidak ditemukan")</f>
        <v>NIP tidak ditemukan</v>
      </c>
      <c r="I11" s="156" t="str">
        <f>IFERROR(INDEX(rekap_tpp[], MATCH(MID(B11, FIND("NIP.", B11) + 4, LEN(B11)), INDEX(rekap_tpp[], 0, 8), 0), 6), "NIP tidak ditemukan")</f>
        <v>NIP tidak ditemukan</v>
      </c>
      <c r="J11" s="157">
        <v>0</v>
      </c>
      <c r="K11" s="154" t="str">
        <f t="shared" si="0"/>
        <v>NIP tidak ditemukan</v>
      </c>
      <c r="L11" s="154" t="e">
        <f t="shared" si="1"/>
        <v>#VALUE!</v>
      </c>
      <c r="M11" s="154" t="e">
        <f t="shared" si="2"/>
        <v>#VALUE!</v>
      </c>
      <c r="N11" s="154" t="e">
        <f t="shared" si="5"/>
        <v>#VALUE!</v>
      </c>
      <c r="O11" s="154"/>
      <c r="P11" s="154" t="e">
        <f t="shared" si="3"/>
        <v>#VALUE!</v>
      </c>
      <c r="Q11" s="154">
        <v>0</v>
      </c>
      <c r="R11" s="158" t="e">
        <f t="shared" si="4"/>
        <v>#VALUE!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NIP tidak ditemukan</v>
      </c>
      <c r="D12" s="152" t="str">
        <f>IFERROR(INDEX(rekap_tpp[], MATCH(MID(B12, FIND("NIP.", B12) + 4, LEN(B12)), INDEX(rekap_tpp[], 0, 8), 0), 20), "NIP tidak ditemukan")</f>
        <v>NIP tidak ditemukan</v>
      </c>
      <c r="E12" s="152" t="str">
        <f>IFERROR(INDEX(rekap_tpp[], MATCH(MID(B12, FIND("NIP.", B12) + 4, LEN(B12)), INDEX(rekap_tpp[], 0, 8), 0), 3), "NIP tidak ditemukan")</f>
        <v>NIP tidak ditemukan</v>
      </c>
      <c r="F12" s="153" t="str">
        <f>IFERROR(INDEX(rekap_tpp[], MATCH(MID(B12, FIND("NIP.", B12) + 4, LEN(B12)), INDEX(rekap_tpp[], 0, 8), 0), 2), "NIP tidak ditemukan")</f>
        <v>NIP tidak ditemukan</v>
      </c>
      <c r="G12" s="154" t="str">
        <f>IFERROR(INDEX(rekap_tpp[], MATCH(MID(B12, FIND("NIP.", B12) + 4, LEN(B12)), INDEX(rekap_tpp[], 0, 8), 0), 13), "NIP tidak ditemukan")</f>
        <v>NIP tidak ditemukan</v>
      </c>
      <c r="H12" s="155" t="str">
        <f>IFERROR(INDEX(rekap_tpp[], MATCH(MID(B12, FIND("NIP.", B12) + 4, LEN(B12)), INDEX(rekap_tpp[], 0, 8), 0), 5), "NIP tidak ditemukan")</f>
        <v>NIP tidak ditemukan</v>
      </c>
      <c r="I12" s="156" t="str">
        <f>IFERROR(INDEX(rekap_tpp[], MATCH(MID(B12, FIND("NIP.", B12) + 4, LEN(B12)), INDEX(rekap_tpp[], 0, 8), 0), 6), "NIP tidak ditemukan")</f>
        <v>NIP tidak ditemukan</v>
      </c>
      <c r="J12" s="157">
        <v>0</v>
      </c>
      <c r="K12" s="154" t="str">
        <f t="shared" si="0"/>
        <v>NIP tidak ditemukan</v>
      </c>
      <c r="L12" s="154" t="e">
        <f t="shared" si="1"/>
        <v>#VALUE!</v>
      </c>
      <c r="M12" s="154" t="e">
        <f t="shared" si="2"/>
        <v>#VALUE!</v>
      </c>
      <c r="N12" s="154" t="e">
        <f t="shared" si="5"/>
        <v>#VALUE!</v>
      </c>
      <c r="O12" s="154"/>
      <c r="P12" s="154" t="e">
        <f t="shared" si="3"/>
        <v>#VALUE!</v>
      </c>
      <c r="Q12" s="154">
        <v>0</v>
      </c>
      <c r="R12" s="158" t="e">
        <f t="shared" si="4"/>
        <v>#VALUE!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NIP tidak ditemukan</v>
      </c>
      <c r="D13" s="152" t="str">
        <f>IFERROR(INDEX(rekap_tpp[], MATCH(MID(B13, FIND("NIP.", B13) + 4, LEN(B13)), INDEX(rekap_tpp[], 0, 8), 0), 20), "NIP tidak ditemukan")</f>
        <v>NIP tidak ditemukan</v>
      </c>
      <c r="E13" s="152" t="str">
        <f>IFERROR(INDEX(rekap_tpp[], MATCH(MID(B13, FIND("NIP.", B13) + 4, LEN(B13)), INDEX(rekap_tpp[], 0, 8), 0), 3), "NIP tidak ditemukan")</f>
        <v>NIP tidak ditemukan</v>
      </c>
      <c r="F13" s="153" t="str">
        <f>IFERROR(INDEX(rekap_tpp[], MATCH(MID(B13, FIND("NIP.", B13) + 4, LEN(B13)), INDEX(rekap_tpp[], 0, 8), 0), 2), "NIP tidak ditemukan")</f>
        <v>NIP tidak ditemukan</v>
      </c>
      <c r="G13" s="154" t="str">
        <f>IFERROR(INDEX(rekap_tpp[], MATCH(MID(B13, FIND("NIP.", B13) + 4, LEN(B13)), INDEX(rekap_tpp[], 0, 8), 0), 13), "NIP tidak ditemukan")</f>
        <v>NIP tidak ditemukan</v>
      </c>
      <c r="H13" s="155" t="str">
        <f>IFERROR(INDEX(rekap_tpp[], MATCH(MID(B13, FIND("NIP.", B13) + 4, LEN(B13)), INDEX(rekap_tpp[], 0, 8), 0), 5), "NIP tidak ditemukan")</f>
        <v>NIP tidak ditemukan</v>
      </c>
      <c r="I13" s="156" t="str">
        <f>IFERROR(INDEX(rekap_tpp[], MATCH(MID(B13, FIND("NIP.", B13) + 4, LEN(B13)), INDEX(rekap_tpp[], 0, 8), 0), 6), "NIP tidak ditemukan")</f>
        <v>NIP tidak ditemukan</v>
      </c>
      <c r="J13" s="157">
        <v>0</v>
      </c>
      <c r="K13" s="154" t="str">
        <f t="shared" si="0"/>
        <v>NIP tidak ditemukan</v>
      </c>
      <c r="L13" s="154" t="e">
        <f t="shared" si="1"/>
        <v>#VALUE!</v>
      </c>
      <c r="M13" s="154" t="e">
        <f t="shared" si="2"/>
        <v>#VALUE!</v>
      </c>
      <c r="N13" s="154" t="e">
        <f t="shared" si="5"/>
        <v>#VALUE!</v>
      </c>
      <c r="O13" s="154"/>
      <c r="P13" s="154" t="e">
        <f t="shared" si="3"/>
        <v>#VALUE!</v>
      </c>
      <c r="Q13" s="154">
        <v>0</v>
      </c>
      <c r="R13" s="158" t="e">
        <f t="shared" si="4"/>
        <v>#VALUE!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NIP tidak ditemukan</v>
      </c>
      <c r="D14" s="152" t="str">
        <f>IFERROR(INDEX(rekap_tpp[], MATCH(MID(B14, FIND("NIP.", B14) + 4, LEN(B14)), INDEX(rekap_tpp[], 0, 8), 0), 20), "NIP tidak ditemukan")</f>
        <v>NIP tidak ditemukan</v>
      </c>
      <c r="E14" s="152" t="str">
        <f>IFERROR(INDEX(rekap_tpp[], MATCH(MID(B14, FIND("NIP.", B14) + 4, LEN(B14)), INDEX(rekap_tpp[], 0, 8), 0), 3), "NIP tidak ditemukan")</f>
        <v>NIP tidak ditemukan</v>
      </c>
      <c r="F14" s="153" t="str">
        <f>IFERROR(INDEX(rekap_tpp[], MATCH(MID(B14, FIND("NIP.", B14) + 4, LEN(B14)), INDEX(rekap_tpp[], 0, 8), 0), 2), "NIP tidak ditemukan")</f>
        <v>NIP tidak ditemukan</v>
      </c>
      <c r="G14" s="154" t="str">
        <f>IFERROR(INDEX(rekap_tpp[], MATCH(MID(B14, FIND("NIP.", B14) + 4, LEN(B14)), INDEX(rekap_tpp[], 0, 8), 0), 13), "NIP tidak ditemukan")</f>
        <v>NIP tidak ditemukan</v>
      </c>
      <c r="H14" s="155" t="str">
        <f>IFERROR(INDEX(rekap_tpp[], MATCH(MID(B14, FIND("NIP.", B14) + 4, LEN(B14)), INDEX(rekap_tpp[], 0, 8), 0), 5), "NIP tidak ditemukan")</f>
        <v>NIP tidak ditemukan</v>
      </c>
      <c r="I14" s="156" t="str">
        <f>IFERROR(INDEX(rekap_tpp[], MATCH(MID(B14, FIND("NIP.", B14) + 4, LEN(B14)), INDEX(rekap_tpp[], 0, 8), 0), 6), "NIP tidak ditemukan")</f>
        <v>NIP tidak ditemukan</v>
      </c>
      <c r="J14" s="157">
        <v>0</v>
      </c>
      <c r="K14" s="154" t="str">
        <f t="shared" si="0"/>
        <v>NIP tidak ditemukan</v>
      </c>
      <c r="L14" s="154" t="e">
        <f t="shared" si="1"/>
        <v>#VALUE!</v>
      </c>
      <c r="M14" s="154" t="e">
        <f t="shared" si="2"/>
        <v>#VALUE!</v>
      </c>
      <c r="N14" s="154" t="e">
        <f t="shared" si="5"/>
        <v>#VALUE!</v>
      </c>
      <c r="O14" s="154"/>
      <c r="P14" s="154" t="e">
        <f t="shared" si="3"/>
        <v>#VALUE!</v>
      </c>
      <c r="Q14" s="154">
        <v>0</v>
      </c>
      <c r="R14" s="158" t="e">
        <f t="shared" si="4"/>
        <v>#VALUE!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NIP tidak ditemukan</v>
      </c>
      <c r="D15" s="152" t="str">
        <f>IFERROR(INDEX(rekap_tpp[], MATCH(MID(B15, FIND("NIP.", B15) + 4, LEN(B15)), INDEX(rekap_tpp[], 0, 8), 0), 20), "NIP tidak ditemukan")</f>
        <v>NIP tidak ditemukan</v>
      </c>
      <c r="E15" s="152" t="str">
        <f>IFERROR(INDEX(rekap_tpp[], MATCH(MID(B15, FIND("NIP.", B15) + 4, LEN(B15)), INDEX(rekap_tpp[], 0, 8), 0), 3), "NIP tidak ditemukan")</f>
        <v>NIP tidak ditemukan</v>
      </c>
      <c r="F15" s="153" t="str">
        <f>IFERROR(INDEX(rekap_tpp[], MATCH(MID(B15, FIND("NIP.", B15) + 4, LEN(B15)), INDEX(rekap_tpp[], 0, 8), 0), 2), "NIP tidak ditemukan")</f>
        <v>NIP tidak ditemukan</v>
      </c>
      <c r="G15" s="154" t="str">
        <f>IFERROR(INDEX(rekap_tpp[], MATCH(MID(B15, FIND("NIP.", B15) + 4, LEN(B15)), INDEX(rekap_tpp[], 0, 8), 0), 13), "NIP tidak ditemukan")</f>
        <v>NIP tidak ditemukan</v>
      </c>
      <c r="H15" s="155" t="str">
        <f>IFERROR(INDEX(rekap_tpp[], MATCH(MID(B15, FIND("NIP.", B15) + 4, LEN(B15)), INDEX(rekap_tpp[], 0, 8), 0), 5), "NIP tidak ditemukan")</f>
        <v>NIP tidak ditemukan</v>
      </c>
      <c r="I15" s="156" t="str">
        <f>IFERROR(INDEX(rekap_tpp[], MATCH(MID(B15, FIND("NIP.", B15) + 4, LEN(B15)), INDEX(rekap_tpp[], 0, 8), 0), 6), "NIP tidak ditemukan")</f>
        <v>NIP tidak ditemukan</v>
      </c>
      <c r="J15" s="157">
        <v>0</v>
      </c>
      <c r="K15" s="154" t="str">
        <f t="shared" ref="K15:K35" si="6">H15</f>
        <v>NIP tidak ditemukan</v>
      </c>
      <c r="L15" s="154" t="e">
        <f t="shared" ref="L15:L35" si="7">4*M15</f>
        <v>#VALUE!</v>
      </c>
      <c r="M15" s="154" t="e">
        <f t="shared" ref="M15:M35" si="8">1%*K15</f>
        <v>#VALUE!</v>
      </c>
      <c r="N15" s="154" t="e">
        <f t="shared" ref="N15:N35" si="9">H15-I15-M15</f>
        <v>#VALUE!</v>
      </c>
      <c r="O15" s="154"/>
      <c r="P15" s="154" t="e">
        <f t="shared" ref="P15:P35" si="10">N15-O15</f>
        <v>#VALUE!</v>
      </c>
      <c r="Q15" s="154">
        <v>0</v>
      </c>
      <c r="R15" s="158" t="e">
        <f t="shared" ref="R15:R35" si="11">P15-Q15</f>
        <v>#VALUE!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NIP tidak ditemukan</v>
      </c>
      <c r="D16" s="152" t="str">
        <f>IFERROR(INDEX(rekap_tpp[], MATCH(MID(B16, FIND("NIP.", B16) + 4, LEN(B16)), INDEX(rekap_tpp[], 0, 8), 0), 20), "NIP tidak ditemukan")</f>
        <v>NIP tidak ditemukan</v>
      </c>
      <c r="E16" s="152" t="str">
        <f>IFERROR(INDEX(rekap_tpp[], MATCH(MID(B16, FIND("NIP.", B16) + 4, LEN(B16)), INDEX(rekap_tpp[], 0, 8), 0), 3), "NIP tidak ditemukan")</f>
        <v>NIP tidak ditemukan</v>
      </c>
      <c r="F16" s="153" t="str">
        <f>IFERROR(INDEX(rekap_tpp[], MATCH(MID(B16, FIND("NIP.", B16) + 4, LEN(B16)), INDEX(rekap_tpp[], 0, 8), 0), 2), "NIP tidak ditemukan")</f>
        <v>NIP tidak ditemukan</v>
      </c>
      <c r="G16" s="154" t="str">
        <f>IFERROR(INDEX(rekap_tpp[], MATCH(MID(B16, FIND("NIP.", B16) + 4, LEN(B16)), INDEX(rekap_tpp[], 0, 8), 0), 13), "NIP tidak ditemukan")</f>
        <v>NIP tidak ditemukan</v>
      </c>
      <c r="H16" s="155" t="str">
        <f>IFERROR(INDEX(rekap_tpp[], MATCH(MID(B16, FIND("NIP.", B16) + 4, LEN(B16)), INDEX(rekap_tpp[], 0, 8), 0), 5), "NIP tidak ditemukan")</f>
        <v>NIP tidak ditemukan</v>
      </c>
      <c r="I16" s="156" t="str">
        <f>IFERROR(INDEX(rekap_tpp[], MATCH(MID(B16, FIND("NIP.", B16) + 4, LEN(B16)), INDEX(rekap_tpp[], 0, 8), 0), 6), "NIP tidak ditemukan")</f>
        <v>NIP tidak ditemukan</v>
      </c>
      <c r="J16" s="157">
        <v>0</v>
      </c>
      <c r="K16" s="154" t="str">
        <f t="shared" si="6"/>
        <v>NIP tidak ditemukan</v>
      </c>
      <c r="L16" s="154" t="e">
        <f t="shared" si="7"/>
        <v>#VALUE!</v>
      </c>
      <c r="M16" s="154" t="e">
        <f t="shared" si="8"/>
        <v>#VALUE!</v>
      </c>
      <c r="N16" s="154" t="e">
        <f t="shared" si="9"/>
        <v>#VALUE!</v>
      </c>
      <c r="O16" s="154"/>
      <c r="P16" s="154" t="e">
        <f t="shared" si="10"/>
        <v>#VALUE!</v>
      </c>
      <c r="Q16" s="154">
        <v>0</v>
      </c>
      <c r="R16" s="158" t="e">
        <f t="shared" si="11"/>
        <v>#VALUE!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NIP tidak ditemukan</v>
      </c>
      <c r="D17" s="152" t="str">
        <f>IFERROR(INDEX(rekap_tpp[], MATCH(MID(B17, FIND("NIP.", B17) + 4, LEN(B17)), INDEX(rekap_tpp[], 0, 8), 0), 20), "NIP tidak ditemukan")</f>
        <v>NIP tidak ditemukan</v>
      </c>
      <c r="E17" s="152" t="str">
        <f>IFERROR(INDEX(rekap_tpp[], MATCH(MID(B17, FIND("NIP.", B17) + 4, LEN(B17)), INDEX(rekap_tpp[], 0, 8), 0), 3), "NIP tidak ditemukan")</f>
        <v>NIP tidak ditemukan</v>
      </c>
      <c r="F17" s="153" t="str">
        <f>IFERROR(INDEX(rekap_tpp[], MATCH(MID(B17, FIND("NIP.", B17) + 4, LEN(B17)), INDEX(rekap_tpp[], 0, 8), 0), 2), "NIP tidak ditemukan")</f>
        <v>NIP tidak ditemukan</v>
      </c>
      <c r="G17" s="154" t="str">
        <f>IFERROR(INDEX(rekap_tpp[], MATCH(MID(B17, FIND("NIP.", B17) + 4, LEN(B17)), INDEX(rekap_tpp[], 0, 8), 0), 13), "NIP tidak ditemukan")</f>
        <v>NIP tidak ditemukan</v>
      </c>
      <c r="H17" s="155" t="str">
        <f>IFERROR(INDEX(rekap_tpp[], MATCH(MID(B17, FIND("NIP.", B17) + 4, LEN(B17)), INDEX(rekap_tpp[], 0, 8), 0), 5), "NIP tidak ditemukan")</f>
        <v>NIP tidak ditemukan</v>
      </c>
      <c r="I17" s="156" t="str">
        <f>IFERROR(INDEX(rekap_tpp[], MATCH(MID(B17, FIND("NIP.", B17) + 4, LEN(B17)), INDEX(rekap_tpp[], 0, 8), 0), 6), "NIP tidak ditemukan")</f>
        <v>NIP tidak ditemukan</v>
      </c>
      <c r="J17" s="157">
        <v>0</v>
      </c>
      <c r="K17" s="154" t="str">
        <f t="shared" si="6"/>
        <v>NIP tidak ditemukan</v>
      </c>
      <c r="L17" s="154" t="e">
        <f t="shared" si="7"/>
        <v>#VALUE!</v>
      </c>
      <c r="M17" s="154" t="e">
        <f t="shared" si="8"/>
        <v>#VALUE!</v>
      </c>
      <c r="N17" s="154" t="e">
        <f t="shared" si="9"/>
        <v>#VALUE!</v>
      </c>
      <c r="O17" s="154"/>
      <c r="P17" s="154" t="e">
        <f t="shared" si="10"/>
        <v>#VALUE!</v>
      </c>
      <c r="Q17" s="154">
        <v>0</v>
      </c>
      <c r="R17" s="158" t="e">
        <f t="shared" si="11"/>
        <v>#VALUE!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NIP tidak ditemukan</v>
      </c>
      <c r="D18" s="152" t="str">
        <f>IFERROR(INDEX(rekap_tpp[], MATCH(MID(B18, FIND("NIP.", B18) + 4, LEN(B18)), INDEX(rekap_tpp[], 0, 8), 0), 20), "NIP tidak ditemukan")</f>
        <v>NIP tidak ditemukan</v>
      </c>
      <c r="E18" s="152" t="str">
        <f>IFERROR(INDEX(rekap_tpp[], MATCH(MID(B18, FIND("NIP.", B18) + 4, LEN(B18)), INDEX(rekap_tpp[], 0, 8), 0), 3), "NIP tidak ditemukan")</f>
        <v>NIP tidak ditemukan</v>
      </c>
      <c r="F18" s="153" t="str">
        <f>IFERROR(INDEX(rekap_tpp[], MATCH(MID(B18, FIND("NIP.", B18) + 4, LEN(B18)), INDEX(rekap_tpp[], 0, 8), 0), 2), "NIP tidak ditemukan")</f>
        <v>NIP tidak ditemukan</v>
      </c>
      <c r="G18" s="154" t="str">
        <f>IFERROR(INDEX(rekap_tpp[], MATCH(MID(B18, FIND("NIP.", B18) + 4, LEN(B18)), INDEX(rekap_tpp[], 0, 8), 0), 13), "NIP tidak ditemukan")</f>
        <v>NIP tidak ditemukan</v>
      </c>
      <c r="H18" s="155" t="str">
        <f>IFERROR(INDEX(rekap_tpp[], MATCH(MID(B18, FIND("NIP.", B18) + 4, LEN(B18)), INDEX(rekap_tpp[], 0, 8), 0), 5), "NIP tidak ditemukan")</f>
        <v>NIP tidak ditemukan</v>
      </c>
      <c r="I18" s="156" t="str">
        <f>IFERROR(INDEX(rekap_tpp[], MATCH(MID(B18, FIND("NIP.", B18) + 4, LEN(B18)), INDEX(rekap_tpp[], 0, 8), 0), 6), "NIP tidak ditemukan")</f>
        <v>NIP tidak ditemukan</v>
      </c>
      <c r="J18" s="157">
        <v>0</v>
      </c>
      <c r="K18" s="154" t="str">
        <f t="shared" si="6"/>
        <v>NIP tidak ditemukan</v>
      </c>
      <c r="L18" s="154" t="e">
        <f t="shared" si="7"/>
        <v>#VALUE!</v>
      </c>
      <c r="M18" s="154" t="e">
        <f t="shared" si="8"/>
        <v>#VALUE!</v>
      </c>
      <c r="N18" s="154" t="e">
        <f t="shared" si="9"/>
        <v>#VALUE!</v>
      </c>
      <c r="O18" s="154"/>
      <c r="P18" s="154" t="e">
        <f t="shared" si="10"/>
        <v>#VALUE!</v>
      </c>
      <c r="Q18" s="154">
        <v>0</v>
      </c>
      <c r="R18" s="158" t="e">
        <f t="shared" si="11"/>
        <v>#VALUE!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NIP tidak ditemukan</v>
      </c>
      <c r="D19" s="152" t="str">
        <f>IFERROR(INDEX(rekap_tpp[], MATCH(MID(B19, FIND("NIP.", B19) + 4, LEN(B19)), INDEX(rekap_tpp[], 0, 8), 0), 20), "NIP tidak ditemukan")</f>
        <v>NIP tidak ditemukan</v>
      </c>
      <c r="E19" s="152" t="str">
        <f>IFERROR(INDEX(rekap_tpp[], MATCH(MID(B19, FIND("NIP.", B19) + 4, LEN(B19)), INDEX(rekap_tpp[], 0, 8), 0), 3), "NIP tidak ditemukan")</f>
        <v>NIP tidak ditemukan</v>
      </c>
      <c r="F19" s="153" t="str">
        <f>IFERROR(INDEX(rekap_tpp[], MATCH(MID(B19, FIND("NIP.", B19) + 4, LEN(B19)), INDEX(rekap_tpp[], 0, 8), 0), 2), "NIP tidak ditemukan")</f>
        <v>NIP tidak ditemukan</v>
      </c>
      <c r="G19" s="154" t="str">
        <f>IFERROR(INDEX(rekap_tpp[], MATCH(MID(B19, FIND("NIP.", B19) + 4, LEN(B19)), INDEX(rekap_tpp[], 0, 8), 0), 13), "NIP tidak ditemukan")</f>
        <v>NIP tidak ditemukan</v>
      </c>
      <c r="H19" s="155" t="str">
        <f>IFERROR(INDEX(rekap_tpp[], MATCH(MID(B19, FIND("NIP.", B19) + 4, LEN(B19)), INDEX(rekap_tpp[], 0, 8), 0), 5), "NIP tidak ditemukan")</f>
        <v>NIP tidak ditemukan</v>
      </c>
      <c r="I19" s="156" t="str">
        <f>IFERROR(INDEX(rekap_tpp[], MATCH(MID(B19, FIND("NIP.", B19) + 4, LEN(B19)), INDEX(rekap_tpp[], 0, 8), 0), 6), "NIP tidak ditemukan")</f>
        <v>NIP tidak ditemukan</v>
      </c>
      <c r="J19" s="157">
        <v>0</v>
      </c>
      <c r="K19" s="154" t="str">
        <f t="shared" si="6"/>
        <v>NIP tidak ditemukan</v>
      </c>
      <c r="L19" s="154" t="e">
        <f t="shared" si="7"/>
        <v>#VALUE!</v>
      </c>
      <c r="M19" s="154" t="e">
        <f t="shared" si="8"/>
        <v>#VALUE!</v>
      </c>
      <c r="N19" s="154" t="e">
        <f t="shared" si="9"/>
        <v>#VALUE!</v>
      </c>
      <c r="O19" s="154"/>
      <c r="P19" s="154" t="e">
        <f t="shared" si="10"/>
        <v>#VALUE!</v>
      </c>
      <c r="Q19" s="154">
        <v>0</v>
      </c>
      <c r="R19" s="158" t="e">
        <f t="shared" si="11"/>
        <v>#VALUE!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NIP tidak ditemukan</v>
      </c>
      <c r="D20" s="152" t="str">
        <f>IFERROR(INDEX(rekap_tpp[], MATCH(MID(B20, FIND("NIP.", B20) + 4, LEN(B20)), INDEX(rekap_tpp[], 0, 8), 0), 20), "NIP tidak ditemukan")</f>
        <v>NIP tidak ditemukan</v>
      </c>
      <c r="E20" s="152" t="str">
        <f>IFERROR(INDEX(rekap_tpp[], MATCH(MID(B20, FIND("NIP.", B20) + 4, LEN(B20)), INDEX(rekap_tpp[], 0, 8), 0), 3), "NIP tidak ditemukan")</f>
        <v>NIP tidak ditemukan</v>
      </c>
      <c r="F20" s="153" t="str">
        <f>IFERROR(INDEX(rekap_tpp[], MATCH(MID(B20, FIND("NIP.", B20) + 4, LEN(B20)), INDEX(rekap_tpp[], 0, 8), 0), 2), "NIP tidak ditemukan")</f>
        <v>NIP tidak ditemukan</v>
      </c>
      <c r="G20" s="154" t="str">
        <f>IFERROR(INDEX(rekap_tpp[], MATCH(MID(B20, FIND("NIP.", B20) + 4, LEN(B20)), INDEX(rekap_tpp[], 0, 8), 0), 13), "NIP tidak ditemukan")</f>
        <v>NIP tidak ditemukan</v>
      </c>
      <c r="H20" s="155" t="str">
        <f>IFERROR(INDEX(rekap_tpp[], MATCH(MID(B20, FIND("NIP.", B20) + 4, LEN(B20)), INDEX(rekap_tpp[], 0, 8), 0), 5), "NIP tidak ditemukan")</f>
        <v>NIP tidak ditemukan</v>
      </c>
      <c r="I20" s="156" t="str">
        <f>IFERROR(INDEX(rekap_tpp[], MATCH(MID(B20, FIND("NIP.", B20) + 4, LEN(B20)), INDEX(rekap_tpp[], 0, 8), 0), 6), "NIP tidak ditemukan")</f>
        <v>NIP tidak ditemukan</v>
      </c>
      <c r="J20" s="157">
        <v>0</v>
      </c>
      <c r="K20" s="154" t="str">
        <f t="shared" si="6"/>
        <v>NIP tidak ditemukan</v>
      </c>
      <c r="L20" s="154" t="e">
        <f t="shared" si="7"/>
        <v>#VALUE!</v>
      </c>
      <c r="M20" s="154" t="e">
        <f t="shared" si="8"/>
        <v>#VALUE!</v>
      </c>
      <c r="N20" s="154" t="e">
        <f t="shared" si="9"/>
        <v>#VALUE!</v>
      </c>
      <c r="O20" s="154"/>
      <c r="P20" s="154" t="e">
        <f t="shared" si="10"/>
        <v>#VALUE!</v>
      </c>
      <c r="Q20" s="154">
        <v>0</v>
      </c>
      <c r="R20" s="158" t="e">
        <f t="shared" si="11"/>
        <v>#VALUE!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NIP tidak ditemukan</v>
      </c>
      <c r="D21" s="152" t="str">
        <f>IFERROR(INDEX(rekap_tpp[], MATCH(MID(B21, FIND("NIP.", B21) + 4, LEN(B21)), INDEX(rekap_tpp[], 0, 8), 0), 20), "NIP tidak ditemukan")</f>
        <v>NIP tidak ditemukan</v>
      </c>
      <c r="E21" s="152" t="str">
        <f>IFERROR(INDEX(rekap_tpp[], MATCH(MID(B21, FIND("NIP.", B21) + 4, LEN(B21)), INDEX(rekap_tpp[], 0, 8), 0), 3), "NIP tidak ditemukan")</f>
        <v>NIP tidak ditemukan</v>
      </c>
      <c r="F21" s="153" t="str">
        <f>IFERROR(INDEX(rekap_tpp[], MATCH(MID(B21, FIND("NIP.", B21) + 4, LEN(B21)), INDEX(rekap_tpp[], 0, 8), 0), 2), "NIP tidak ditemukan")</f>
        <v>NIP tidak ditemukan</v>
      </c>
      <c r="G21" s="154" t="str">
        <f>IFERROR(INDEX(rekap_tpp[], MATCH(MID(B21, FIND("NIP.", B21) + 4, LEN(B21)), INDEX(rekap_tpp[], 0, 8), 0), 13), "NIP tidak ditemukan")</f>
        <v>NIP tidak ditemukan</v>
      </c>
      <c r="H21" s="155" t="str">
        <f>IFERROR(INDEX(rekap_tpp[], MATCH(MID(B21, FIND("NIP.", B21) + 4, LEN(B21)), INDEX(rekap_tpp[], 0, 8), 0), 5), "NIP tidak ditemukan")</f>
        <v>NIP tidak ditemukan</v>
      </c>
      <c r="I21" s="156" t="str">
        <f>IFERROR(INDEX(rekap_tpp[], MATCH(MID(B21, FIND("NIP.", B21) + 4, LEN(B21)), INDEX(rekap_tpp[], 0, 8), 0), 6), "NIP tidak ditemukan")</f>
        <v>NIP tidak ditemukan</v>
      </c>
      <c r="J21" s="157">
        <v>0</v>
      </c>
      <c r="K21" s="154" t="str">
        <f t="shared" si="6"/>
        <v>NIP tidak ditemukan</v>
      </c>
      <c r="L21" s="154" t="e">
        <f t="shared" si="7"/>
        <v>#VALUE!</v>
      </c>
      <c r="M21" s="154" t="e">
        <f t="shared" si="8"/>
        <v>#VALUE!</v>
      </c>
      <c r="N21" s="154" t="e">
        <f t="shared" si="9"/>
        <v>#VALUE!</v>
      </c>
      <c r="O21" s="154"/>
      <c r="P21" s="154" t="e">
        <f t="shared" si="10"/>
        <v>#VALUE!</v>
      </c>
      <c r="Q21" s="154">
        <v>0</v>
      </c>
      <c r="R21" s="158" t="e">
        <f t="shared" si="11"/>
        <v>#VALUE!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NIP tidak ditemukan</v>
      </c>
      <c r="D22" s="152" t="str">
        <f>IFERROR(INDEX(rekap_tpp[], MATCH(MID(B22, FIND("NIP.", B22) + 4, LEN(B22)), INDEX(rekap_tpp[], 0, 8), 0), 20), "NIP tidak ditemukan")</f>
        <v>NIP tidak ditemukan</v>
      </c>
      <c r="E22" s="152" t="str">
        <f>IFERROR(INDEX(rekap_tpp[], MATCH(MID(B22, FIND("NIP.", B22) + 4, LEN(B22)), INDEX(rekap_tpp[], 0, 8), 0), 3), "NIP tidak ditemukan")</f>
        <v>NIP tidak ditemukan</v>
      </c>
      <c r="F22" s="153" t="str">
        <f>IFERROR(INDEX(rekap_tpp[], MATCH(MID(B22, FIND("NIP.", B22) + 4, LEN(B22)), INDEX(rekap_tpp[], 0, 8), 0), 2), "NIP tidak ditemukan")</f>
        <v>NIP tidak ditemukan</v>
      </c>
      <c r="G22" s="154" t="str">
        <f>IFERROR(INDEX(rekap_tpp[], MATCH(MID(B22, FIND("NIP.", B22) + 4, LEN(B22)), INDEX(rekap_tpp[], 0, 8), 0), 13), "NIP tidak ditemukan")</f>
        <v>NIP tidak ditemukan</v>
      </c>
      <c r="H22" s="155" t="str">
        <f>IFERROR(INDEX(rekap_tpp[], MATCH(MID(B22, FIND("NIP.", B22) + 4, LEN(B22)), INDEX(rekap_tpp[], 0, 8), 0), 5), "NIP tidak ditemukan")</f>
        <v>NIP tidak ditemukan</v>
      </c>
      <c r="I22" s="156" t="str">
        <f>IFERROR(INDEX(rekap_tpp[], MATCH(MID(B22, FIND("NIP.", B22) + 4, LEN(B22)), INDEX(rekap_tpp[], 0, 8), 0), 6), "NIP tidak ditemukan")</f>
        <v>NIP tidak ditemukan</v>
      </c>
      <c r="J22" s="157">
        <v>0</v>
      </c>
      <c r="K22" s="154" t="str">
        <f t="shared" si="6"/>
        <v>NIP tidak ditemukan</v>
      </c>
      <c r="L22" s="154" t="e">
        <f t="shared" si="7"/>
        <v>#VALUE!</v>
      </c>
      <c r="M22" s="154" t="e">
        <f t="shared" si="8"/>
        <v>#VALUE!</v>
      </c>
      <c r="N22" s="154" t="e">
        <f t="shared" si="9"/>
        <v>#VALUE!</v>
      </c>
      <c r="O22" s="154"/>
      <c r="P22" s="154" t="e">
        <f t="shared" si="10"/>
        <v>#VALUE!</v>
      </c>
      <c r="Q22" s="154">
        <v>0</v>
      </c>
      <c r="R22" s="158" t="e">
        <f t="shared" si="11"/>
        <v>#VALUE!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NIP tidak ditemukan</v>
      </c>
      <c r="D23" s="152" t="str">
        <f>IFERROR(INDEX(rekap_tpp[], MATCH(MID(B23, FIND("NIP.", B23) + 4, LEN(B23)), INDEX(rekap_tpp[], 0, 8), 0), 20), "NIP tidak ditemukan")</f>
        <v>NIP tidak ditemukan</v>
      </c>
      <c r="E23" s="152" t="str">
        <f>IFERROR(INDEX(rekap_tpp[], MATCH(MID(B23, FIND("NIP.", B23) + 4, LEN(B23)), INDEX(rekap_tpp[], 0, 8), 0), 3), "NIP tidak ditemukan")</f>
        <v>NIP tidak ditemukan</v>
      </c>
      <c r="F23" s="153" t="str">
        <f>IFERROR(INDEX(rekap_tpp[], MATCH(MID(B23, FIND("NIP.", B23) + 4, LEN(B23)), INDEX(rekap_tpp[], 0, 8), 0), 2), "NIP tidak ditemukan")</f>
        <v>NIP tidak ditemukan</v>
      </c>
      <c r="G23" s="154" t="str">
        <f>IFERROR(INDEX(rekap_tpp[], MATCH(MID(B23, FIND("NIP.", B23) + 4, LEN(B23)), INDEX(rekap_tpp[], 0, 8), 0), 13), "NIP tidak ditemukan")</f>
        <v>NIP tidak ditemukan</v>
      </c>
      <c r="H23" s="155" t="str">
        <f>IFERROR(INDEX(rekap_tpp[], MATCH(MID(B23, FIND("NIP.", B23) + 4, LEN(B23)), INDEX(rekap_tpp[], 0, 8), 0), 5), "NIP tidak ditemukan")</f>
        <v>NIP tidak ditemukan</v>
      </c>
      <c r="I23" s="156" t="str">
        <f>IFERROR(INDEX(rekap_tpp[], MATCH(MID(B23, FIND("NIP.", B23) + 4, LEN(B23)), INDEX(rekap_tpp[], 0, 8), 0), 6), "NIP tidak ditemukan")</f>
        <v>NIP tidak ditemukan</v>
      </c>
      <c r="J23" s="157">
        <v>0</v>
      </c>
      <c r="K23" s="154" t="str">
        <f t="shared" si="6"/>
        <v>NIP tidak ditemukan</v>
      </c>
      <c r="L23" s="154" t="e">
        <f t="shared" si="7"/>
        <v>#VALUE!</v>
      </c>
      <c r="M23" s="154" t="e">
        <f t="shared" si="8"/>
        <v>#VALUE!</v>
      </c>
      <c r="N23" s="154" t="e">
        <f t="shared" si="9"/>
        <v>#VALUE!</v>
      </c>
      <c r="O23" s="154"/>
      <c r="P23" s="154" t="e">
        <f t="shared" si="10"/>
        <v>#VALUE!</v>
      </c>
      <c r="Q23" s="154">
        <v>0</v>
      </c>
      <c r="R23" s="158" t="e">
        <f t="shared" si="11"/>
        <v>#VALUE!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NIP tidak ditemukan</v>
      </c>
      <c r="D24" s="152" t="str">
        <f>IFERROR(INDEX(rekap_tpp[], MATCH(MID(B24, FIND("NIP.", B24) + 4, LEN(B24)), INDEX(rekap_tpp[], 0, 8), 0), 20), "NIP tidak ditemukan")</f>
        <v>NIP tidak ditemukan</v>
      </c>
      <c r="E24" s="152" t="str">
        <f>IFERROR(INDEX(rekap_tpp[], MATCH(MID(B24, FIND("NIP.", B24) + 4, LEN(B24)), INDEX(rekap_tpp[], 0, 8), 0), 3), "NIP tidak ditemukan")</f>
        <v>NIP tidak ditemukan</v>
      </c>
      <c r="F24" s="153" t="str">
        <f>IFERROR(INDEX(rekap_tpp[], MATCH(MID(B24, FIND("NIP.", B24) + 4, LEN(B24)), INDEX(rekap_tpp[], 0, 8), 0), 2), "NIP tidak ditemukan")</f>
        <v>NIP tidak ditemukan</v>
      </c>
      <c r="G24" s="154" t="str">
        <f>IFERROR(INDEX(rekap_tpp[], MATCH(MID(B24, FIND("NIP.", B24) + 4, LEN(B24)), INDEX(rekap_tpp[], 0, 8), 0), 13), "NIP tidak ditemukan")</f>
        <v>NIP tidak ditemukan</v>
      </c>
      <c r="H24" s="155" t="str">
        <f>IFERROR(INDEX(rekap_tpp[], MATCH(MID(B24, FIND("NIP.", B24) + 4, LEN(B24)), INDEX(rekap_tpp[], 0, 8), 0), 5), "NIP tidak ditemukan")</f>
        <v>NIP tidak ditemukan</v>
      </c>
      <c r="I24" s="156" t="str">
        <f>IFERROR(INDEX(rekap_tpp[], MATCH(MID(B24, FIND("NIP.", B24) + 4, LEN(B24)), INDEX(rekap_tpp[], 0, 8), 0), 6), "NIP tidak ditemukan")</f>
        <v>NIP tidak ditemukan</v>
      </c>
      <c r="J24" s="157">
        <v>0</v>
      </c>
      <c r="K24" s="154" t="str">
        <f t="shared" si="6"/>
        <v>NIP tidak ditemukan</v>
      </c>
      <c r="L24" s="154" t="e">
        <f t="shared" si="7"/>
        <v>#VALUE!</v>
      </c>
      <c r="M24" s="154" t="e">
        <f t="shared" si="8"/>
        <v>#VALUE!</v>
      </c>
      <c r="N24" s="154" t="e">
        <f t="shared" si="9"/>
        <v>#VALUE!</v>
      </c>
      <c r="O24" s="154"/>
      <c r="P24" s="154" t="e">
        <f t="shared" si="10"/>
        <v>#VALUE!</v>
      </c>
      <c r="Q24" s="154">
        <v>0</v>
      </c>
      <c r="R24" s="158" t="e">
        <f t="shared" si="11"/>
        <v>#VALUE!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NIP tidak ditemukan</v>
      </c>
      <c r="D25" s="152" t="str">
        <f>IFERROR(INDEX(rekap_tpp[], MATCH(MID(B25, FIND("NIP.", B25) + 4, LEN(B25)), INDEX(rekap_tpp[], 0, 8), 0), 20), "NIP tidak ditemukan")</f>
        <v>NIP tidak ditemukan</v>
      </c>
      <c r="E25" s="152" t="str">
        <f>IFERROR(INDEX(rekap_tpp[], MATCH(MID(B25, FIND("NIP.", B25) + 4, LEN(B25)), INDEX(rekap_tpp[], 0, 8), 0), 3), "NIP tidak ditemukan")</f>
        <v>NIP tidak ditemukan</v>
      </c>
      <c r="F25" s="153" t="str">
        <f>IFERROR(INDEX(rekap_tpp[], MATCH(MID(B25, FIND("NIP.", B25) + 4, LEN(B25)), INDEX(rekap_tpp[], 0, 8), 0), 2), "NIP tidak ditemukan")</f>
        <v>NIP tidak ditemukan</v>
      </c>
      <c r="G25" s="154" t="str">
        <f>IFERROR(INDEX(rekap_tpp[], MATCH(MID(B25, FIND("NIP.", B25) + 4, LEN(B25)), INDEX(rekap_tpp[], 0, 8), 0), 13), "NIP tidak ditemukan")</f>
        <v>NIP tidak ditemukan</v>
      </c>
      <c r="H25" s="155" t="str">
        <f>IFERROR(INDEX(rekap_tpp[], MATCH(MID(B25, FIND("NIP.", B25) + 4, LEN(B25)), INDEX(rekap_tpp[], 0, 8), 0), 5), "NIP tidak ditemukan")</f>
        <v>NIP tidak ditemukan</v>
      </c>
      <c r="I25" s="156" t="str">
        <f>IFERROR(INDEX(rekap_tpp[], MATCH(MID(B25, FIND("NIP.", B25) + 4, LEN(B25)), INDEX(rekap_tpp[], 0, 8), 0), 6), "NIP tidak ditemukan")</f>
        <v>NIP tidak ditemukan</v>
      </c>
      <c r="J25" s="161"/>
      <c r="K25" s="154" t="str">
        <f t="shared" si="6"/>
        <v>NIP tidak ditemukan</v>
      </c>
      <c r="L25" s="154" t="e">
        <f t="shared" si="7"/>
        <v>#VALUE!</v>
      </c>
      <c r="M25" s="154" t="e">
        <f t="shared" si="8"/>
        <v>#VALUE!</v>
      </c>
      <c r="N25" s="154" t="e">
        <f t="shared" si="9"/>
        <v>#VALUE!</v>
      </c>
      <c r="O25" s="154"/>
      <c r="P25" s="154" t="e">
        <f t="shared" si="10"/>
        <v>#VALUE!</v>
      </c>
      <c r="Q25" s="154">
        <v>0</v>
      </c>
      <c r="R25" s="158" t="e">
        <f t="shared" si="11"/>
        <v>#VALUE!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NIP tidak ditemukan</v>
      </c>
      <c r="D26" s="152" t="str">
        <f>IFERROR(INDEX(rekap_tpp[], MATCH(MID(B26, FIND("NIP.", B26) + 4, LEN(B26)), INDEX(rekap_tpp[], 0, 8), 0), 20), "NIP tidak ditemukan")</f>
        <v>NIP tidak ditemukan</v>
      </c>
      <c r="E26" s="152" t="str">
        <f>IFERROR(INDEX(rekap_tpp[], MATCH(MID(B26, FIND("NIP.", B26) + 4, LEN(B26)), INDEX(rekap_tpp[], 0, 8), 0), 3), "NIP tidak ditemukan")</f>
        <v>NIP tidak ditemukan</v>
      </c>
      <c r="F26" s="153" t="str">
        <f>IFERROR(INDEX(rekap_tpp[], MATCH(MID(B26, FIND("NIP.", B26) + 4, LEN(B26)), INDEX(rekap_tpp[], 0, 8), 0), 2), "NIP tidak ditemukan")</f>
        <v>NIP tidak ditemukan</v>
      </c>
      <c r="G26" s="154" t="str">
        <f>IFERROR(INDEX(rekap_tpp[], MATCH(MID(B26, FIND("NIP.", B26) + 4, LEN(B26)), INDEX(rekap_tpp[], 0, 8), 0), 13), "NIP tidak ditemukan")</f>
        <v>NIP tidak ditemukan</v>
      </c>
      <c r="H26" s="155" t="str">
        <f>IFERROR(INDEX(rekap_tpp[], MATCH(MID(B26, FIND("NIP.", B26) + 4, LEN(B26)), INDEX(rekap_tpp[], 0, 8), 0), 5), "NIP tidak ditemukan")</f>
        <v>NIP tidak ditemukan</v>
      </c>
      <c r="I26" s="156" t="str">
        <f>IFERROR(INDEX(rekap_tpp[], MATCH(MID(B26, FIND("NIP.", B26) + 4, LEN(B26)), INDEX(rekap_tpp[], 0, 8), 0), 6), "NIP tidak ditemukan")</f>
        <v>NIP tidak ditemukan</v>
      </c>
      <c r="J26" s="161"/>
      <c r="K26" s="154" t="str">
        <f t="shared" si="6"/>
        <v>NIP tidak ditemukan</v>
      </c>
      <c r="L26" s="154" t="e">
        <f t="shared" si="7"/>
        <v>#VALUE!</v>
      </c>
      <c r="M26" s="154" t="e">
        <f t="shared" si="8"/>
        <v>#VALUE!</v>
      </c>
      <c r="N26" s="154" t="e">
        <f t="shared" si="9"/>
        <v>#VALUE!</v>
      </c>
      <c r="O26" s="154"/>
      <c r="P26" s="154" t="e">
        <f t="shared" si="10"/>
        <v>#VALUE!</v>
      </c>
      <c r="Q26" s="154">
        <v>0</v>
      </c>
      <c r="R26" s="158" t="e">
        <f t="shared" si="11"/>
        <v>#VALUE!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NIP tidak ditemukan</v>
      </c>
      <c r="D27" s="152" t="str">
        <f>IFERROR(INDEX(rekap_tpp[], MATCH(MID(B27, FIND("NIP.", B27) + 4, LEN(B27)), INDEX(rekap_tpp[], 0, 8), 0), 20), "NIP tidak ditemukan")</f>
        <v>NIP tidak ditemukan</v>
      </c>
      <c r="E27" s="152" t="str">
        <f>IFERROR(INDEX(rekap_tpp[], MATCH(MID(B27, FIND("NIP.", B27) + 4, LEN(B27)), INDEX(rekap_tpp[], 0, 8), 0), 3), "NIP tidak ditemukan")</f>
        <v>NIP tidak ditemukan</v>
      </c>
      <c r="F27" s="153" t="str">
        <f>IFERROR(INDEX(rekap_tpp[], MATCH(MID(B27, FIND("NIP.", B27) + 4, LEN(B27)), INDEX(rekap_tpp[], 0, 8), 0), 2), "NIP tidak ditemukan")</f>
        <v>NIP tidak ditemukan</v>
      </c>
      <c r="G27" s="154" t="str">
        <f>IFERROR(INDEX(rekap_tpp[], MATCH(MID(B27, FIND("NIP.", B27) + 4, LEN(B27)), INDEX(rekap_tpp[], 0, 8), 0), 13), "NIP tidak ditemukan")</f>
        <v>NIP tidak ditemukan</v>
      </c>
      <c r="H27" s="155" t="str">
        <f>IFERROR(INDEX(rekap_tpp[], MATCH(MID(B27, FIND("NIP.", B27) + 4, LEN(B27)), INDEX(rekap_tpp[], 0, 8), 0), 5), "NIP tidak ditemukan")</f>
        <v>NIP tidak ditemukan</v>
      </c>
      <c r="I27" s="156" t="str">
        <f>IFERROR(INDEX(rekap_tpp[], MATCH(MID(B27, FIND("NIP.", B27) + 4, LEN(B27)), INDEX(rekap_tpp[], 0, 8), 0), 6), "NIP tidak ditemukan")</f>
        <v>NIP tidak ditemukan</v>
      </c>
      <c r="J27" s="161"/>
      <c r="K27" s="154" t="str">
        <f t="shared" si="6"/>
        <v>NIP tidak ditemukan</v>
      </c>
      <c r="L27" s="154" t="e">
        <f t="shared" si="7"/>
        <v>#VALUE!</v>
      </c>
      <c r="M27" s="154" t="e">
        <f t="shared" si="8"/>
        <v>#VALUE!</v>
      </c>
      <c r="N27" s="154" t="e">
        <f t="shared" si="9"/>
        <v>#VALUE!</v>
      </c>
      <c r="O27" s="154"/>
      <c r="P27" s="154" t="e">
        <f t="shared" si="10"/>
        <v>#VALUE!</v>
      </c>
      <c r="Q27" s="154">
        <v>0</v>
      </c>
      <c r="R27" s="158" t="e">
        <f t="shared" si="11"/>
        <v>#VALUE!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NIP tidak ditemukan</v>
      </c>
      <c r="D28" s="152" t="str">
        <f>IFERROR(INDEX(rekap_tpp[], MATCH(MID(B28, FIND("NIP.", B28) + 4, LEN(B28)), INDEX(rekap_tpp[], 0, 8), 0), 20), "NIP tidak ditemukan")</f>
        <v>NIP tidak ditemukan</v>
      </c>
      <c r="E28" s="152" t="str">
        <f>IFERROR(INDEX(rekap_tpp[], MATCH(MID(B28, FIND("NIP.", B28) + 4, LEN(B28)), INDEX(rekap_tpp[], 0, 8), 0), 3), "NIP tidak ditemukan")</f>
        <v>NIP tidak ditemukan</v>
      </c>
      <c r="F28" s="153" t="str">
        <f>IFERROR(INDEX(rekap_tpp[], MATCH(MID(B28, FIND("NIP.", B28) + 4, LEN(B28)), INDEX(rekap_tpp[], 0, 8), 0), 2), "NIP tidak ditemukan")</f>
        <v>NIP tidak ditemukan</v>
      </c>
      <c r="G28" s="154" t="str">
        <f>IFERROR(INDEX(rekap_tpp[], MATCH(MID(B28, FIND("NIP.", B28) + 4, LEN(B28)), INDEX(rekap_tpp[], 0, 8), 0), 13), "NIP tidak ditemukan")</f>
        <v>NIP tidak ditemukan</v>
      </c>
      <c r="H28" s="155" t="str">
        <f>IFERROR(INDEX(rekap_tpp[], MATCH(MID(B28, FIND("NIP.", B28) + 4, LEN(B28)), INDEX(rekap_tpp[], 0, 8), 0), 5), "NIP tidak ditemukan")</f>
        <v>NIP tidak ditemukan</v>
      </c>
      <c r="I28" s="156" t="str">
        <f>IFERROR(INDEX(rekap_tpp[], MATCH(MID(B28, FIND("NIP.", B28) + 4, LEN(B28)), INDEX(rekap_tpp[], 0, 8), 0), 6), "NIP tidak ditemukan")</f>
        <v>NIP tidak ditemukan</v>
      </c>
      <c r="J28" s="161"/>
      <c r="K28" s="154" t="str">
        <f t="shared" si="6"/>
        <v>NIP tidak ditemukan</v>
      </c>
      <c r="L28" s="154" t="e">
        <f t="shared" si="7"/>
        <v>#VALUE!</v>
      </c>
      <c r="M28" s="154" t="e">
        <f t="shared" si="8"/>
        <v>#VALUE!</v>
      </c>
      <c r="N28" s="154" t="e">
        <f t="shared" si="9"/>
        <v>#VALUE!</v>
      </c>
      <c r="O28" s="154"/>
      <c r="P28" s="154" t="e">
        <f t="shared" si="10"/>
        <v>#VALUE!</v>
      </c>
      <c r="Q28" s="154">
        <v>0</v>
      </c>
      <c r="R28" s="158" t="e">
        <f t="shared" si="11"/>
        <v>#VALUE!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NIP tidak ditemukan</v>
      </c>
      <c r="D29" s="152" t="str">
        <f>IFERROR(INDEX(rekap_tpp[], MATCH(MID(B29, FIND("NIP.", B29) + 4, LEN(B29)), INDEX(rekap_tpp[], 0, 8), 0), 20), "NIP tidak ditemukan")</f>
        <v>NIP tidak ditemukan</v>
      </c>
      <c r="E29" s="152" t="str">
        <f>IFERROR(INDEX(rekap_tpp[], MATCH(MID(B29, FIND("NIP.", B29) + 4, LEN(B29)), INDEX(rekap_tpp[], 0, 8), 0), 3), "NIP tidak ditemukan")</f>
        <v>NIP tidak ditemukan</v>
      </c>
      <c r="F29" s="153" t="str">
        <f>IFERROR(INDEX(rekap_tpp[], MATCH(MID(B29, FIND("NIP.", B29) + 4, LEN(B29)), INDEX(rekap_tpp[], 0, 8), 0), 2), "NIP tidak ditemukan")</f>
        <v>NIP tidak ditemukan</v>
      </c>
      <c r="G29" s="154" t="str">
        <f>IFERROR(INDEX(rekap_tpp[], MATCH(MID(B29, FIND("NIP.", B29) + 4, LEN(B29)), INDEX(rekap_tpp[], 0, 8), 0), 13), "NIP tidak ditemukan")</f>
        <v>NIP tidak ditemukan</v>
      </c>
      <c r="H29" s="155" t="str">
        <f>IFERROR(INDEX(rekap_tpp[], MATCH(MID(B29, FIND("NIP.", B29) + 4, LEN(B29)), INDEX(rekap_tpp[], 0, 8), 0), 5), "NIP tidak ditemukan")</f>
        <v>NIP tidak ditemukan</v>
      </c>
      <c r="I29" s="156" t="str">
        <f>IFERROR(INDEX(rekap_tpp[], MATCH(MID(B29, FIND("NIP.", B29) + 4, LEN(B29)), INDEX(rekap_tpp[], 0, 8), 0), 6), "NIP tidak ditemukan")</f>
        <v>NIP tidak ditemukan</v>
      </c>
      <c r="J29" s="161"/>
      <c r="K29" s="154" t="str">
        <f t="shared" si="6"/>
        <v>NIP tidak ditemukan</v>
      </c>
      <c r="L29" s="154" t="e">
        <f t="shared" si="7"/>
        <v>#VALUE!</v>
      </c>
      <c r="M29" s="154" t="e">
        <f t="shared" si="8"/>
        <v>#VALUE!</v>
      </c>
      <c r="N29" s="154" t="e">
        <f t="shared" si="9"/>
        <v>#VALUE!</v>
      </c>
      <c r="O29" s="154"/>
      <c r="P29" s="154" t="e">
        <f t="shared" si="10"/>
        <v>#VALUE!</v>
      </c>
      <c r="Q29" s="154">
        <v>0</v>
      </c>
      <c r="R29" s="158" t="e">
        <f t="shared" si="11"/>
        <v>#VALUE!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NIP tidak ditemukan</v>
      </c>
      <c r="D30" s="152" t="str">
        <f>IFERROR(INDEX(rekap_tpp[], MATCH(MID(B30, FIND("NIP.", B30) + 4, LEN(B30)), INDEX(rekap_tpp[], 0, 8), 0), 20), "NIP tidak ditemukan")</f>
        <v>NIP tidak ditemukan</v>
      </c>
      <c r="E30" s="152" t="str">
        <f>IFERROR(INDEX(rekap_tpp[], MATCH(MID(B30, FIND("NIP.", B30) + 4, LEN(B30)), INDEX(rekap_tpp[], 0, 8), 0), 3), "NIP tidak ditemukan")</f>
        <v>NIP tidak ditemukan</v>
      </c>
      <c r="F30" s="153" t="str">
        <f>IFERROR(INDEX(rekap_tpp[], MATCH(MID(B30, FIND("NIP.", B30) + 4, LEN(B30)), INDEX(rekap_tpp[], 0, 8), 0), 2), "NIP tidak ditemukan")</f>
        <v>NIP tidak ditemukan</v>
      </c>
      <c r="G30" s="154" t="str">
        <f>IFERROR(INDEX(rekap_tpp[], MATCH(MID(B30, FIND("NIP.", B30) + 4, LEN(B30)), INDEX(rekap_tpp[], 0, 8), 0), 13), "NIP tidak ditemukan")</f>
        <v>NIP tidak ditemukan</v>
      </c>
      <c r="H30" s="155" t="str">
        <f>IFERROR(INDEX(rekap_tpp[], MATCH(MID(B30, FIND("NIP.", B30) + 4, LEN(B30)), INDEX(rekap_tpp[], 0, 8), 0), 5), "NIP tidak ditemukan")</f>
        <v>NIP tidak ditemukan</v>
      </c>
      <c r="I30" s="156" t="str">
        <f>IFERROR(INDEX(rekap_tpp[], MATCH(MID(B30, FIND("NIP.", B30) + 4, LEN(B30)), INDEX(rekap_tpp[], 0, 8), 0), 6), "NIP tidak ditemukan")</f>
        <v>NIP tidak ditemukan</v>
      </c>
      <c r="J30" s="161"/>
      <c r="K30" s="154" t="str">
        <f t="shared" si="6"/>
        <v>NIP tidak ditemukan</v>
      </c>
      <c r="L30" s="154" t="e">
        <f t="shared" si="7"/>
        <v>#VALUE!</v>
      </c>
      <c r="M30" s="154" t="e">
        <f t="shared" si="8"/>
        <v>#VALUE!</v>
      </c>
      <c r="N30" s="154" t="e">
        <f t="shared" si="9"/>
        <v>#VALUE!</v>
      </c>
      <c r="O30" s="154"/>
      <c r="P30" s="154" t="e">
        <f t="shared" si="10"/>
        <v>#VALUE!</v>
      </c>
      <c r="Q30" s="154">
        <v>0</v>
      </c>
      <c r="R30" s="158" t="e">
        <f t="shared" si="11"/>
        <v>#VALUE!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NIP tidak ditemukan</v>
      </c>
      <c r="D31" s="152" t="str">
        <f>IFERROR(INDEX(rekap_tpp[], MATCH(MID(B31, FIND("NIP.", B31) + 4, LEN(B31)), INDEX(rekap_tpp[], 0, 8), 0), 20), "NIP tidak ditemukan")</f>
        <v>NIP tidak ditemukan</v>
      </c>
      <c r="E31" s="152" t="str">
        <f>IFERROR(INDEX(rekap_tpp[], MATCH(MID(B31, FIND("NIP.", B31) + 4, LEN(B31)), INDEX(rekap_tpp[], 0, 8), 0), 3), "NIP tidak ditemukan")</f>
        <v>NIP tidak ditemukan</v>
      </c>
      <c r="F31" s="153" t="str">
        <f>IFERROR(INDEX(rekap_tpp[], MATCH(MID(B31, FIND("NIP.", B31) + 4, LEN(B31)), INDEX(rekap_tpp[], 0, 8), 0), 2), "NIP tidak ditemukan")</f>
        <v>NIP tidak ditemukan</v>
      </c>
      <c r="G31" s="154" t="str">
        <f>IFERROR(INDEX(rekap_tpp[], MATCH(MID(B31, FIND("NIP.", B31) + 4, LEN(B31)), INDEX(rekap_tpp[], 0, 8), 0), 13), "NIP tidak ditemukan")</f>
        <v>NIP tidak ditemukan</v>
      </c>
      <c r="H31" s="155" t="str">
        <f>IFERROR(INDEX(rekap_tpp[], MATCH(MID(B31, FIND("NIP.", B31) + 4, LEN(B31)), INDEX(rekap_tpp[], 0, 8), 0), 5), "NIP tidak ditemukan")</f>
        <v>NIP tidak ditemukan</v>
      </c>
      <c r="I31" s="156" t="str">
        <f>IFERROR(INDEX(rekap_tpp[], MATCH(MID(B31, FIND("NIP.", B31) + 4, LEN(B31)), INDEX(rekap_tpp[], 0, 8), 0), 6), "NIP tidak ditemukan")</f>
        <v>NIP tidak ditemukan</v>
      </c>
      <c r="J31" s="161"/>
      <c r="K31" s="154" t="str">
        <f t="shared" si="6"/>
        <v>NIP tidak ditemukan</v>
      </c>
      <c r="L31" s="154" t="e">
        <f t="shared" si="7"/>
        <v>#VALUE!</v>
      </c>
      <c r="M31" s="154" t="e">
        <f t="shared" si="8"/>
        <v>#VALUE!</v>
      </c>
      <c r="N31" s="154" t="e">
        <f t="shared" si="9"/>
        <v>#VALUE!</v>
      </c>
      <c r="O31" s="154"/>
      <c r="P31" s="154" t="e">
        <f t="shared" si="10"/>
        <v>#VALUE!</v>
      </c>
      <c r="Q31" s="154">
        <v>0</v>
      </c>
      <c r="R31" s="158" t="e">
        <f t="shared" si="11"/>
        <v>#VALUE!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NIP tidak ditemukan</v>
      </c>
      <c r="D32" s="152" t="str">
        <f>IFERROR(INDEX(rekap_tpp[], MATCH(MID(B32, FIND("NIP.", B32) + 4, LEN(B32)), INDEX(rekap_tpp[], 0, 8), 0), 20), "NIP tidak ditemukan")</f>
        <v>NIP tidak ditemukan</v>
      </c>
      <c r="E32" s="152" t="str">
        <f>IFERROR(INDEX(rekap_tpp[], MATCH(MID(B32, FIND("NIP.", B32) + 4, LEN(B32)), INDEX(rekap_tpp[], 0, 8), 0), 3), "NIP tidak ditemukan")</f>
        <v>NIP tidak ditemukan</v>
      </c>
      <c r="F32" s="153" t="str">
        <f>IFERROR(INDEX(rekap_tpp[], MATCH(MID(B32, FIND("NIP.", B32) + 4, LEN(B32)), INDEX(rekap_tpp[], 0, 8), 0), 2), "NIP tidak ditemukan")</f>
        <v>NIP tidak ditemukan</v>
      </c>
      <c r="G32" s="154" t="str">
        <f>IFERROR(INDEX(rekap_tpp[], MATCH(MID(B32, FIND("NIP.", B32) + 4, LEN(B32)), INDEX(rekap_tpp[], 0, 8), 0), 13), "NIP tidak ditemukan")</f>
        <v>NIP tidak ditemukan</v>
      </c>
      <c r="H32" s="155" t="str">
        <f>IFERROR(INDEX(rekap_tpp[], MATCH(MID(B32, FIND("NIP.", B32) + 4, LEN(B32)), INDEX(rekap_tpp[], 0, 8), 0), 5), "NIP tidak ditemukan")</f>
        <v>NIP tidak ditemukan</v>
      </c>
      <c r="I32" s="156" t="str">
        <f>IFERROR(INDEX(rekap_tpp[], MATCH(MID(B32, FIND("NIP.", B32) + 4, LEN(B32)), INDEX(rekap_tpp[], 0, 8), 0), 6), "NIP tidak ditemukan")</f>
        <v>NIP tidak ditemukan</v>
      </c>
      <c r="J32" s="161"/>
      <c r="K32" s="154" t="str">
        <f t="shared" si="6"/>
        <v>NIP tidak ditemukan</v>
      </c>
      <c r="L32" s="154" t="e">
        <f t="shared" si="7"/>
        <v>#VALUE!</v>
      </c>
      <c r="M32" s="154" t="e">
        <f t="shared" si="8"/>
        <v>#VALUE!</v>
      </c>
      <c r="N32" s="154" t="e">
        <f t="shared" si="9"/>
        <v>#VALUE!</v>
      </c>
      <c r="O32" s="154"/>
      <c r="P32" s="154" t="e">
        <f t="shared" si="10"/>
        <v>#VALUE!</v>
      </c>
      <c r="Q32" s="154">
        <v>0</v>
      </c>
      <c r="R32" s="158" t="e">
        <f t="shared" si="11"/>
        <v>#VALUE!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NIP tidak ditemukan</v>
      </c>
      <c r="D33" s="152" t="str">
        <f>IFERROR(INDEX(rekap_tpp[], MATCH(MID(B33, FIND("NIP.", B33) + 4, LEN(B33)), INDEX(rekap_tpp[], 0, 8), 0), 20), "NIP tidak ditemukan")</f>
        <v>NIP tidak ditemukan</v>
      </c>
      <c r="E33" s="152" t="str">
        <f>IFERROR(INDEX(rekap_tpp[], MATCH(MID(B33, FIND("NIP.", B33) + 4, LEN(B33)), INDEX(rekap_tpp[], 0, 8), 0), 3), "NIP tidak ditemukan")</f>
        <v>NIP tidak ditemukan</v>
      </c>
      <c r="F33" s="153" t="str">
        <f>IFERROR(INDEX(rekap_tpp[], MATCH(MID(B33, FIND("NIP.", B33) + 4, LEN(B33)), INDEX(rekap_tpp[], 0, 8), 0), 2), "NIP tidak ditemukan")</f>
        <v>NIP tidak ditemukan</v>
      </c>
      <c r="G33" s="154" t="str">
        <f>IFERROR(INDEX(rekap_tpp[], MATCH(MID(B33, FIND("NIP.", B33) + 4, LEN(B33)), INDEX(rekap_tpp[], 0, 8), 0), 13), "NIP tidak ditemukan")</f>
        <v>NIP tidak ditemukan</v>
      </c>
      <c r="H33" s="155" t="str">
        <f>IFERROR(INDEX(rekap_tpp[], MATCH(MID(B33, FIND("NIP.", B33) + 4, LEN(B33)), INDEX(rekap_tpp[], 0, 8), 0), 5), "NIP tidak ditemukan")</f>
        <v>NIP tidak ditemukan</v>
      </c>
      <c r="I33" s="156" t="str">
        <f>IFERROR(INDEX(rekap_tpp[], MATCH(MID(B33, FIND("NIP.", B33) + 4, LEN(B33)), INDEX(rekap_tpp[], 0, 8), 0), 6), "NIP tidak ditemukan")</f>
        <v>NIP tidak ditemukan</v>
      </c>
      <c r="J33" s="161"/>
      <c r="K33" s="154" t="str">
        <f t="shared" si="6"/>
        <v>NIP tidak ditemukan</v>
      </c>
      <c r="L33" s="154" t="e">
        <f t="shared" si="7"/>
        <v>#VALUE!</v>
      </c>
      <c r="M33" s="154" t="e">
        <f t="shared" si="8"/>
        <v>#VALUE!</v>
      </c>
      <c r="N33" s="154" t="e">
        <f t="shared" si="9"/>
        <v>#VALUE!</v>
      </c>
      <c r="O33" s="154"/>
      <c r="P33" s="154" t="e">
        <f t="shared" si="10"/>
        <v>#VALUE!</v>
      </c>
      <c r="Q33" s="154">
        <v>0</v>
      </c>
      <c r="R33" s="158" t="e">
        <f t="shared" si="11"/>
        <v>#VALUE!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NIP tidak ditemukan</v>
      </c>
      <c r="D34" s="152" t="str">
        <f>IFERROR(INDEX(rekap_tpp[], MATCH(MID(B34, FIND("NIP.", B34) + 4, LEN(B34)), INDEX(rekap_tpp[], 0, 8), 0), 20), "NIP tidak ditemukan")</f>
        <v>NIP tidak ditemukan</v>
      </c>
      <c r="E34" s="152" t="str">
        <f>IFERROR(INDEX(rekap_tpp[], MATCH(MID(B34, FIND("NIP.", B34) + 4, LEN(B34)), INDEX(rekap_tpp[], 0, 8), 0), 3), "NIP tidak ditemukan")</f>
        <v>NIP tidak ditemukan</v>
      </c>
      <c r="F34" s="153" t="str">
        <f>IFERROR(INDEX(rekap_tpp[], MATCH(MID(B34, FIND("NIP.", B34) + 4, LEN(B34)), INDEX(rekap_tpp[], 0, 8), 0), 2), "NIP tidak ditemukan")</f>
        <v>NIP tidak ditemukan</v>
      </c>
      <c r="G34" s="154" t="str">
        <f>IFERROR(INDEX(rekap_tpp[], MATCH(MID(B34, FIND("NIP.", B34) + 4, LEN(B34)), INDEX(rekap_tpp[], 0, 8), 0), 13), "NIP tidak ditemukan")</f>
        <v>NIP tidak ditemukan</v>
      </c>
      <c r="H34" s="155" t="str">
        <f>IFERROR(INDEX(rekap_tpp[], MATCH(MID(B34, FIND("NIP.", B34) + 4, LEN(B34)), INDEX(rekap_tpp[], 0, 8), 0), 5), "NIP tidak ditemukan")</f>
        <v>NIP tidak ditemukan</v>
      </c>
      <c r="I34" s="156" t="str">
        <f>IFERROR(INDEX(rekap_tpp[], MATCH(MID(B34, FIND("NIP.", B34) + 4, LEN(B34)), INDEX(rekap_tpp[], 0, 8), 0), 6), "NIP tidak ditemukan")</f>
        <v>NIP tidak ditemukan</v>
      </c>
      <c r="J34" s="161"/>
      <c r="K34" s="154" t="str">
        <f t="shared" si="6"/>
        <v>NIP tidak ditemukan</v>
      </c>
      <c r="L34" s="154" t="e">
        <f t="shared" si="7"/>
        <v>#VALUE!</v>
      </c>
      <c r="M34" s="154" t="e">
        <f t="shared" si="8"/>
        <v>#VALUE!</v>
      </c>
      <c r="N34" s="154" t="e">
        <f t="shared" si="9"/>
        <v>#VALUE!</v>
      </c>
      <c r="O34" s="154"/>
      <c r="P34" s="154" t="e">
        <f t="shared" si="10"/>
        <v>#VALUE!</v>
      </c>
      <c r="Q34" s="154">
        <v>0</v>
      </c>
      <c r="R34" s="158" t="e">
        <f t="shared" si="11"/>
        <v>#VALUE!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NIP tidak ditemukan</v>
      </c>
      <c r="D35" s="152" t="str">
        <f>IFERROR(INDEX(rekap_tpp[], MATCH(MID(B35, FIND("NIP.", B35) + 4, LEN(B35)), INDEX(rekap_tpp[], 0, 8), 0), 20), "NIP tidak ditemukan")</f>
        <v>NIP tidak ditemukan</v>
      </c>
      <c r="E35" s="152" t="str">
        <f>IFERROR(INDEX(rekap_tpp[], MATCH(MID(B35, FIND("NIP.", B35) + 4, LEN(B35)), INDEX(rekap_tpp[], 0, 8), 0), 3), "NIP tidak ditemukan")</f>
        <v>NIP tidak ditemukan</v>
      </c>
      <c r="F35" s="153" t="str">
        <f>IFERROR(INDEX(rekap_tpp[], MATCH(MID(B35, FIND("NIP.", B35) + 4, LEN(B35)), INDEX(rekap_tpp[], 0, 8), 0), 2), "NIP tidak ditemukan")</f>
        <v>NIP tidak ditemukan</v>
      </c>
      <c r="G35" s="154" t="str">
        <f>IFERROR(INDEX(rekap_tpp[], MATCH(MID(B35, FIND("NIP.", B35) + 4, LEN(B35)), INDEX(rekap_tpp[], 0, 8), 0), 13), "NIP tidak ditemukan")</f>
        <v>NIP tidak ditemukan</v>
      </c>
      <c r="H35" s="155" t="str">
        <f>IFERROR(INDEX(rekap_tpp[], MATCH(MID(B35, FIND("NIP.", B35) + 4, LEN(B35)), INDEX(rekap_tpp[], 0, 8), 0), 5), "NIP tidak ditemukan")</f>
        <v>NIP tidak ditemukan</v>
      </c>
      <c r="I35" s="156" t="str">
        <f>IFERROR(INDEX(rekap_tpp[], MATCH(MID(B35, FIND("NIP.", B35) + 4, LEN(B35)), INDEX(rekap_tpp[], 0, 8), 0), 6), "NIP tidak ditemukan")</f>
        <v>NIP tidak ditemukan</v>
      </c>
      <c r="J35" s="161"/>
      <c r="K35" s="154" t="str">
        <f t="shared" si="6"/>
        <v>NIP tidak ditemukan</v>
      </c>
      <c r="L35" s="154" t="e">
        <f t="shared" si="7"/>
        <v>#VALUE!</v>
      </c>
      <c r="M35" s="154" t="e">
        <f t="shared" si="8"/>
        <v>#VALUE!</v>
      </c>
      <c r="N35" s="154" t="e">
        <f t="shared" si="9"/>
        <v>#VALUE!</v>
      </c>
      <c r="O35" s="154"/>
      <c r="P35" s="154" t="e">
        <f t="shared" si="10"/>
        <v>#VALUE!</v>
      </c>
      <c r="Q35" s="154">
        <v>0</v>
      </c>
      <c r="R35" s="158" t="e">
        <f t="shared" si="11"/>
        <v>#VALUE!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0</v>
      </c>
      <c r="I36" s="219">
        <f t="shared" ref="I36:R36" si="12">SUM(I9:I35)</f>
        <v>0</v>
      </c>
      <c r="J36" s="219">
        <f t="shared" si="12"/>
        <v>0</v>
      </c>
      <c r="K36" s="219">
        <f t="shared" si="12"/>
        <v>0</v>
      </c>
      <c r="L36" s="219" t="e">
        <f t="shared" si="12"/>
        <v>#VALUE!</v>
      </c>
      <c r="M36" s="219" t="e">
        <f t="shared" si="12"/>
        <v>#VALUE!</v>
      </c>
      <c r="N36" s="219" t="e">
        <f t="shared" si="12"/>
        <v>#VALUE!</v>
      </c>
      <c r="O36" s="219">
        <f t="shared" si="12"/>
        <v>0</v>
      </c>
      <c r="P36" s="219" t="e">
        <f t="shared" si="12"/>
        <v>#VALUE!</v>
      </c>
      <c r="Q36" s="219">
        <f t="shared" si="12"/>
        <v>0</v>
      </c>
      <c r="R36" s="219" t="e">
        <f t="shared" si="12"/>
        <v>#VALUE!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 t="str">
        <f>IFERROR(INDEX(rekap_tpp[], MATCH(MID(B5, FIND("NIP.", B5) + 4, LEN(B5)), INDEX(rekap_tpp[], 0, 8), 0), 15), "NIP tidak ditemukan")</f>
        <v>NIP tidak ditemukan</v>
      </c>
      <c r="D5" s="223" t="str">
        <f>IFERROR(INDEX(rekap_tpp[], MATCH(MID(B5, FIND("NIP.", B5) + 4, LEN(B5)), INDEX(rekap_tpp[], 0, 8), 0), 18), "NIP tidak ditemukan")</f>
        <v>NIP tidak ditemukan</v>
      </c>
      <c r="E5" s="223" t="str">
        <f>IFERROR(INDEX(rekap_tpp[], MATCH(MID(B5, FIND("NIP.", B5) + 4, LEN(B5)), INDEX(rekap_tpp[], 0, 8), 0), 17), "NIP tidak ditemukan")</f>
        <v>NIP tidak ditemukan</v>
      </c>
      <c r="F5" s="223" t="str">
        <f>IFERROR(INDEX(rekap_tpp[], MATCH(MID(B5, FIND("NIP.", B5) + 4, LEN(B5)), INDEX(rekap_tpp[], 0, 8), 0), 16), "NIP tidak ditemukan")</f>
        <v>NIP tidak ditemukan</v>
      </c>
      <c r="G5" s="223" t="str">
        <f>IFERROR(INDEX(rekap_tpp[], MATCH(MID(B5, FIND("NIP.", B5) + 4, LEN(B5)), INDEX(rekap_tpp[], 0, 8), 0), 19), "NIP tidak ditemukan")</f>
        <v>NIP tidak ditemukan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 t="str">
        <f>IFERROR(INDEX(rekap_tpp[], MATCH(MID(B6, FIND("NIP.", B6) + 4, LEN(B6)), INDEX(rekap_tpp[], 0, 8), 0), 15), "NIP tidak ditemukan")</f>
        <v>NIP tidak ditemukan</v>
      </c>
      <c r="D6" s="223" t="str">
        <f>IFERROR(INDEX(rekap_tpp[], MATCH(MID(B6, FIND("NIP.", B6) + 4, LEN(B6)), INDEX(rekap_tpp[], 0, 8), 0), 18), "NIP tidak ditemukan")</f>
        <v>NIP tidak ditemukan</v>
      </c>
      <c r="E6" s="223" t="str">
        <f>IFERROR(INDEX(rekap_tpp[], MATCH(MID(B6, FIND("NIP.", B6) + 4, LEN(B6)), INDEX(rekap_tpp[], 0, 8), 0), 17), "NIP tidak ditemukan")</f>
        <v>NIP tidak ditemukan</v>
      </c>
      <c r="F6" s="223" t="str">
        <f>IFERROR(INDEX(rekap_tpp[], MATCH(MID(B6, FIND("NIP.", B6) + 4, LEN(B6)), INDEX(rekap_tpp[], 0, 8), 0), 16), "NIP tidak ditemukan")</f>
        <v>NIP tidak ditemukan</v>
      </c>
      <c r="G6" s="223" t="str">
        <f>IFERROR(INDEX(rekap_tpp[], MATCH(MID(B6, FIND("NIP.", B6) + 4, LEN(B6)), INDEX(rekap_tpp[], 0, 8), 0), 19), "NIP tidak ditemukan")</f>
        <v>NIP tidak ditemukan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 t="str">
        <f>IFERROR(INDEX(rekap_tpp[], MATCH(MID(B7, FIND("NIP.", B7) + 4, LEN(B7)), INDEX(rekap_tpp[], 0, 8), 0), 15), "NIP tidak ditemukan")</f>
        <v>NIP tidak ditemukan</v>
      </c>
      <c r="D7" s="223" t="str">
        <f>IFERROR(INDEX(rekap_tpp[], MATCH(MID(B7, FIND("NIP.", B7) + 4, LEN(B7)), INDEX(rekap_tpp[], 0, 8), 0), 18), "NIP tidak ditemukan")</f>
        <v>NIP tidak ditemukan</v>
      </c>
      <c r="E7" s="223" t="str">
        <f>IFERROR(INDEX(rekap_tpp[], MATCH(MID(B7, FIND("NIP.", B7) + 4, LEN(B7)), INDEX(rekap_tpp[], 0, 8), 0), 17), "NIP tidak ditemukan")</f>
        <v>NIP tidak ditemukan</v>
      </c>
      <c r="F7" s="223" t="str">
        <f>IFERROR(INDEX(rekap_tpp[], MATCH(MID(B7, FIND("NIP.", B7) + 4, LEN(B7)), INDEX(rekap_tpp[], 0, 8), 0), 16), "NIP tidak ditemukan")</f>
        <v>NIP tidak ditemukan</v>
      </c>
      <c r="G7" s="223" t="str">
        <f>IFERROR(INDEX(rekap_tpp[], MATCH(MID(B7, FIND("NIP.", B7) + 4, LEN(B7)), INDEX(rekap_tpp[], 0, 8), 0), 19), "NIP tidak ditemukan")</f>
        <v>NIP tidak ditemukan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 t="str">
        <f>IFERROR(INDEX(rekap_tpp[], MATCH(MID(B8, FIND("NIP.", B8) + 4, LEN(B8)), INDEX(rekap_tpp[], 0, 8), 0), 15), "NIP tidak ditemukan")</f>
        <v>NIP tidak ditemukan</v>
      </c>
      <c r="D8" s="223" t="str">
        <f>IFERROR(INDEX(rekap_tpp[], MATCH(MID(B8, FIND("NIP.", B8) + 4, LEN(B8)), INDEX(rekap_tpp[], 0, 8), 0), 18), "NIP tidak ditemukan")</f>
        <v>NIP tidak ditemukan</v>
      </c>
      <c r="E8" s="223" t="str">
        <f>IFERROR(INDEX(rekap_tpp[], MATCH(MID(B8, FIND("NIP.", B8) + 4, LEN(B8)), INDEX(rekap_tpp[], 0, 8), 0), 17), "NIP tidak ditemukan")</f>
        <v>NIP tidak ditemukan</v>
      </c>
      <c r="F8" s="223" t="str">
        <f>IFERROR(INDEX(rekap_tpp[], MATCH(MID(B8, FIND("NIP.", B8) + 4, LEN(B8)), INDEX(rekap_tpp[], 0, 8), 0), 16), "NIP tidak ditemukan")</f>
        <v>NIP tidak ditemukan</v>
      </c>
      <c r="G8" s="223" t="str">
        <f>IFERROR(INDEX(rekap_tpp[], MATCH(MID(B8, FIND("NIP.", B8) + 4, LEN(B8)), INDEX(rekap_tpp[], 0, 8), 0), 19), "NIP tidak ditemukan")</f>
        <v>NIP tidak ditemukan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 t="str">
        <f>IFERROR(INDEX(rekap_tpp[], MATCH(MID(B9, FIND("NIP.", B9) + 4, LEN(B9)), INDEX(rekap_tpp[], 0, 8), 0), 15), "NIP tidak ditemukan")</f>
        <v>NIP tidak ditemukan</v>
      </c>
      <c r="D9" s="223" t="str">
        <f>IFERROR(INDEX(rekap_tpp[], MATCH(MID(B9, FIND("NIP.", B9) + 4, LEN(B9)), INDEX(rekap_tpp[], 0, 8), 0), 18), "NIP tidak ditemukan")</f>
        <v>NIP tidak ditemukan</v>
      </c>
      <c r="E9" s="223" t="str">
        <f>IFERROR(INDEX(rekap_tpp[], MATCH(MID(B9, FIND("NIP.", B9) + 4, LEN(B9)), INDEX(rekap_tpp[], 0, 8), 0), 17), "NIP tidak ditemukan")</f>
        <v>NIP tidak ditemukan</v>
      </c>
      <c r="F9" s="223" t="str">
        <f>IFERROR(INDEX(rekap_tpp[], MATCH(MID(B9, FIND("NIP.", B9) + 4, LEN(B9)), INDEX(rekap_tpp[], 0, 8), 0), 16), "NIP tidak ditemukan")</f>
        <v>NIP tidak ditemukan</v>
      </c>
      <c r="G9" s="223" t="str">
        <f>IFERROR(INDEX(rekap_tpp[], MATCH(MID(B9, FIND("NIP.", B9) + 4, LEN(B9)), INDEX(rekap_tpp[], 0, 8), 0), 19), "NIP tidak ditemukan")</f>
        <v>NIP tidak ditemukan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 t="str">
        <f>IFERROR(INDEX(rekap_tpp[], MATCH(MID(B10, FIND("NIP.", B10) + 4, LEN(B10)), INDEX(rekap_tpp[], 0, 8), 0), 15), "NIP tidak ditemukan")</f>
        <v>NIP tidak ditemukan</v>
      </c>
      <c r="D10" s="223" t="str">
        <f>IFERROR(INDEX(rekap_tpp[], MATCH(MID(B10, FIND("NIP.", B10) + 4, LEN(B10)), INDEX(rekap_tpp[], 0, 8), 0), 18), "NIP tidak ditemukan")</f>
        <v>NIP tidak ditemukan</v>
      </c>
      <c r="E10" s="223" t="str">
        <f>IFERROR(INDEX(rekap_tpp[], MATCH(MID(B10, FIND("NIP.", B10) + 4, LEN(B10)), INDEX(rekap_tpp[], 0, 8), 0), 17), "NIP tidak ditemukan")</f>
        <v>NIP tidak ditemukan</v>
      </c>
      <c r="F10" s="223" t="str">
        <f>IFERROR(INDEX(rekap_tpp[], MATCH(MID(B10, FIND("NIP.", B10) + 4, LEN(B10)), INDEX(rekap_tpp[], 0, 8), 0), 16), "NIP tidak ditemukan")</f>
        <v>NIP tidak ditemukan</v>
      </c>
      <c r="G10" s="223" t="str">
        <f>IFERROR(INDEX(rekap_tpp[], MATCH(MID(B10, FIND("NIP.", B10) + 4, LEN(B10)), INDEX(rekap_tpp[], 0, 8), 0), 19), "NIP tidak ditemukan")</f>
        <v>NIP tidak ditemukan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 t="str">
        <f>IFERROR(INDEX(rekap_tpp[], MATCH(MID(B11, FIND("NIP.", B11) + 4, LEN(B11)), INDEX(rekap_tpp[], 0, 8), 0), 15), "NIP tidak ditemukan")</f>
        <v>NIP tidak ditemukan</v>
      </c>
      <c r="D11" s="223" t="str">
        <f>IFERROR(INDEX(rekap_tpp[], MATCH(MID(B11, FIND("NIP.", B11) + 4, LEN(B11)), INDEX(rekap_tpp[], 0, 8), 0), 18), "NIP tidak ditemukan")</f>
        <v>NIP tidak ditemukan</v>
      </c>
      <c r="E11" s="223" t="str">
        <f>IFERROR(INDEX(rekap_tpp[], MATCH(MID(B11, FIND("NIP.", B11) + 4, LEN(B11)), INDEX(rekap_tpp[], 0, 8), 0), 17), "NIP tidak ditemukan")</f>
        <v>NIP tidak ditemukan</v>
      </c>
      <c r="F11" s="223" t="str">
        <f>IFERROR(INDEX(rekap_tpp[], MATCH(MID(B11, FIND("NIP.", B11) + 4, LEN(B11)), INDEX(rekap_tpp[], 0, 8), 0), 16), "NIP tidak ditemukan")</f>
        <v>NIP tidak ditemukan</v>
      </c>
      <c r="G11" s="223" t="str">
        <f>IFERROR(INDEX(rekap_tpp[], MATCH(MID(B11, FIND("NIP.", B11) + 4, LEN(B11)), INDEX(rekap_tpp[], 0, 8), 0), 19), "NIP tidak ditemukan")</f>
        <v>NIP tidak ditemukan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 t="str">
        <f>IFERROR(INDEX(rekap_tpp[], MATCH(MID(B12, FIND("NIP.", B12) + 4, LEN(B12)), INDEX(rekap_tpp[], 0, 8), 0), 15), "NIP tidak ditemukan")</f>
        <v>NIP tidak ditemukan</v>
      </c>
      <c r="D12" s="223" t="str">
        <f>IFERROR(INDEX(rekap_tpp[], MATCH(MID(B12, FIND("NIP.", B12) + 4, LEN(B12)), INDEX(rekap_tpp[], 0, 8), 0), 18), "NIP tidak ditemukan")</f>
        <v>NIP tidak ditemukan</v>
      </c>
      <c r="E12" s="223" t="str">
        <f>IFERROR(INDEX(rekap_tpp[], MATCH(MID(B12, FIND("NIP.", B12) + 4, LEN(B12)), INDEX(rekap_tpp[], 0, 8), 0), 17), "NIP tidak ditemukan")</f>
        <v>NIP tidak ditemukan</v>
      </c>
      <c r="F12" s="223" t="str">
        <f>IFERROR(INDEX(rekap_tpp[], MATCH(MID(B12, FIND("NIP.", B12) + 4, LEN(B12)), INDEX(rekap_tpp[], 0, 8), 0), 16), "NIP tidak ditemukan")</f>
        <v>NIP tidak ditemukan</v>
      </c>
      <c r="G12" s="223" t="str">
        <f>IFERROR(INDEX(rekap_tpp[], MATCH(MID(B12, FIND("NIP.", B12) + 4, LEN(B12)), INDEX(rekap_tpp[], 0, 8), 0), 19), "NIP tidak ditemukan")</f>
        <v>NIP tidak ditemukan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 t="str">
        <f>IFERROR(INDEX(rekap_tpp[], MATCH(MID(B13, FIND("NIP.", B13) + 4, LEN(B13)), INDEX(rekap_tpp[], 0, 8), 0), 15), "NIP tidak ditemukan")</f>
        <v>NIP tidak ditemukan</v>
      </c>
      <c r="D13" s="223" t="str">
        <f>IFERROR(INDEX(rekap_tpp[], MATCH(MID(B13, FIND("NIP.", B13) + 4, LEN(B13)), INDEX(rekap_tpp[], 0, 8), 0), 18), "NIP tidak ditemukan")</f>
        <v>NIP tidak ditemukan</v>
      </c>
      <c r="E13" s="223" t="str">
        <f>IFERROR(INDEX(rekap_tpp[], MATCH(MID(B13, FIND("NIP.", B13) + 4, LEN(B13)), INDEX(rekap_tpp[], 0, 8), 0), 17), "NIP tidak ditemukan")</f>
        <v>NIP tidak ditemukan</v>
      </c>
      <c r="F13" s="223" t="str">
        <f>IFERROR(INDEX(rekap_tpp[], MATCH(MID(B13, FIND("NIP.", B13) + 4, LEN(B13)), INDEX(rekap_tpp[], 0, 8), 0), 16), "NIP tidak ditemukan")</f>
        <v>NIP tidak ditemukan</v>
      </c>
      <c r="G13" s="223" t="str">
        <f>IFERROR(INDEX(rekap_tpp[], MATCH(MID(B13, FIND("NIP.", B13) + 4, LEN(B13)), INDEX(rekap_tpp[], 0, 8), 0), 19), "NIP tidak ditemukan")</f>
        <v>NIP tidak ditemukan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 t="str">
        <f>IFERROR(INDEX(rekap_tpp[], MATCH(MID(B14, FIND("NIP.", B14) + 4, LEN(B14)), INDEX(rekap_tpp[], 0, 8), 0), 15), "NIP tidak ditemukan")</f>
        <v>NIP tidak ditemukan</v>
      </c>
      <c r="D14" s="223" t="str">
        <f>IFERROR(INDEX(rekap_tpp[], MATCH(MID(B14, FIND("NIP.", B14) + 4, LEN(B14)), INDEX(rekap_tpp[], 0, 8), 0), 18), "NIP tidak ditemukan")</f>
        <v>NIP tidak ditemukan</v>
      </c>
      <c r="E14" s="223" t="str">
        <f>IFERROR(INDEX(rekap_tpp[], MATCH(MID(B14, FIND("NIP.", B14) + 4, LEN(B14)), INDEX(rekap_tpp[], 0, 8), 0), 17), "NIP tidak ditemukan")</f>
        <v>NIP tidak ditemukan</v>
      </c>
      <c r="F14" s="223" t="str">
        <f>IFERROR(INDEX(rekap_tpp[], MATCH(MID(B14, FIND("NIP.", B14) + 4, LEN(B14)), INDEX(rekap_tpp[], 0, 8), 0), 16), "NIP tidak ditemukan")</f>
        <v>NIP tidak ditemukan</v>
      </c>
      <c r="G14" s="223" t="str">
        <f>IFERROR(INDEX(rekap_tpp[], MATCH(MID(B14, FIND("NIP.", B14) + 4, LEN(B14)), INDEX(rekap_tpp[], 0, 8), 0), 19), "NIP tidak ditemukan")</f>
        <v>NIP tidak ditemukan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 t="str">
        <f>IFERROR(INDEX(rekap_tpp[], MATCH(MID(B15, FIND("NIP.", B15) + 4, LEN(B15)), INDEX(rekap_tpp[], 0, 8), 0), 15), "NIP tidak ditemukan")</f>
        <v>NIP tidak ditemukan</v>
      </c>
      <c r="D15" s="223" t="str">
        <f>IFERROR(INDEX(rekap_tpp[], MATCH(MID(B15, FIND("NIP.", B15) + 4, LEN(B15)), INDEX(rekap_tpp[], 0, 8), 0), 18), "NIP tidak ditemukan")</f>
        <v>NIP tidak ditemukan</v>
      </c>
      <c r="E15" s="223" t="str">
        <f>IFERROR(INDEX(rekap_tpp[], MATCH(MID(B15, FIND("NIP.", B15) + 4, LEN(B15)), INDEX(rekap_tpp[], 0, 8), 0), 17), "NIP tidak ditemukan")</f>
        <v>NIP tidak ditemukan</v>
      </c>
      <c r="F15" s="223" t="str">
        <f>IFERROR(INDEX(rekap_tpp[], MATCH(MID(B15, FIND("NIP.", B15) + 4, LEN(B15)), INDEX(rekap_tpp[], 0, 8), 0), 16), "NIP tidak ditemukan")</f>
        <v>NIP tidak ditemukan</v>
      </c>
      <c r="G15" s="223" t="str">
        <f>IFERROR(INDEX(rekap_tpp[], MATCH(MID(B15, FIND("NIP.", B15) + 4, LEN(B15)), INDEX(rekap_tpp[], 0, 8), 0), 19), "NIP tidak ditemukan")</f>
        <v>NIP tidak ditemukan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 t="str">
        <f>IFERROR(INDEX(rekap_tpp[], MATCH(MID(B16, FIND("NIP.", B16) + 4, LEN(B16)), INDEX(rekap_tpp[], 0, 8), 0), 15), "NIP tidak ditemukan")</f>
        <v>NIP tidak ditemukan</v>
      </c>
      <c r="D16" s="223" t="str">
        <f>IFERROR(INDEX(rekap_tpp[], MATCH(MID(B16, FIND("NIP.", B16) + 4, LEN(B16)), INDEX(rekap_tpp[], 0, 8), 0), 18), "NIP tidak ditemukan")</f>
        <v>NIP tidak ditemukan</v>
      </c>
      <c r="E16" s="223" t="str">
        <f>IFERROR(INDEX(rekap_tpp[], MATCH(MID(B16, FIND("NIP.", B16) + 4, LEN(B16)), INDEX(rekap_tpp[], 0, 8), 0), 17), "NIP tidak ditemukan")</f>
        <v>NIP tidak ditemukan</v>
      </c>
      <c r="F16" s="223" t="str">
        <f>IFERROR(INDEX(rekap_tpp[], MATCH(MID(B16, FIND("NIP.", B16) + 4, LEN(B16)), INDEX(rekap_tpp[], 0, 8), 0), 16), "NIP tidak ditemukan")</f>
        <v>NIP tidak ditemukan</v>
      </c>
      <c r="G16" s="223" t="str">
        <f>IFERROR(INDEX(rekap_tpp[], MATCH(MID(B16, FIND("NIP.", B16) + 4, LEN(B16)), INDEX(rekap_tpp[], 0, 8), 0), 19), "NIP tidak ditemukan")</f>
        <v>NIP tidak ditemukan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 t="str">
        <f>IFERROR(INDEX(rekap_tpp[], MATCH(MID(B17, FIND("NIP.", B17) + 4, LEN(B17)), INDEX(rekap_tpp[], 0, 8), 0), 15), "NIP tidak ditemukan")</f>
        <v>NIP tidak ditemukan</v>
      </c>
      <c r="D17" s="223" t="str">
        <f>IFERROR(INDEX(rekap_tpp[], MATCH(MID(B17, FIND("NIP.", B17) + 4, LEN(B17)), INDEX(rekap_tpp[], 0, 8), 0), 18), "NIP tidak ditemukan")</f>
        <v>NIP tidak ditemukan</v>
      </c>
      <c r="E17" s="223" t="str">
        <f>IFERROR(INDEX(rekap_tpp[], MATCH(MID(B17, FIND("NIP.", B17) + 4, LEN(B17)), INDEX(rekap_tpp[], 0, 8), 0), 17), "NIP tidak ditemukan")</f>
        <v>NIP tidak ditemukan</v>
      </c>
      <c r="F17" s="223" t="str">
        <f>IFERROR(INDEX(rekap_tpp[], MATCH(MID(B17, FIND("NIP.", B17) + 4, LEN(B17)), INDEX(rekap_tpp[], 0, 8), 0), 16), "NIP tidak ditemukan")</f>
        <v>NIP tidak ditemukan</v>
      </c>
      <c r="G17" s="223" t="str">
        <f>IFERROR(INDEX(rekap_tpp[], MATCH(MID(B17, FIND("NIP.", B17) + 4, LEN(B17)), INDEX(rekap_tpp[], 0, 8), 0), 19), "NIP tidak ditemukan")</f>
        <v>NIP tidak ditemukan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 t="str">
        <f>IFERROR(INDEX(rekap_tpp[], MATCH(MID(B18, FIND("NIP.", B18) + 4, LEN(B18)), INDEX(rekap_tpp[], 0, 8), 0), 15), "NIP tidak ditemukan")</f>
        <v>NIP tidak ditemukan</v>
      </c>
      <c r="D18" s="223" t="str">
        <f>IFERROR(INDEX(rekap_tpp[], MATCH(MID(B18, FIND("NIP.", B18) + 4, LEN(B18)), INDEX(rekap_tpp[], 0, 8), 0), 18), "NIP tidak ditemukan")</f>
        <v>NIP tidak ditemukan</v>
      </c>
      <c r="E18" s="223" t="str">
        <f>IFERROR(INDEX(rekap_tpp[], MATCH(MID(B18, FIND("NIP.", B18) + 4, LEN(B18)), INDEX(rekap_tpp[], 0, 8), 0), 17), "NIP tidak ditemukan")</f>
        <v>NIP tidak ditemukan</v>
      </c>
      <c r="F18" s="223" t="str">
        <f>IFERROR(INDEX(rekap_tpp[], MATCH(MID(B18, FIND("NIP.", B18) + 4, LEN(B18)), INDEX(rekap_tpp[], 0, 8), 0), 16), "NIP tidak ditemukan")</f>
        <v>NIP tidak ditemukan</v>
      </c>
      <c r="G18" s="223" t="str">
        <f>IFERROR(INDEX(rekap_tpp[], MATCH(MID(B18, FIND("NIP.", B18) + 4, LEN(B18)), INDEX(rekap_tpp[], 0, 8), 0), 19), "NIP tidak ditemukan")</f>
        <v>NIP tidak ditemukan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 t="str">
        <f>IFERROR(INDEX(rekap_tpp[], MATCH(MID(B19, FIND("NIP.", B19) + 4, LEN(B19)), INDEX(rekap_tpp[], 0, 8), 0), 15), "NIP tidak ditemukan")</f>
        <v>NIP tidak ditemukan</v>
      </c>
      <c r="D19" s="223" t="str">
        <f>IFERROR(INDEX(rekap_tpp[], MATCH(MID(B19, FIND("NIP.", B19) + 4, LEN(B19)), INDEX(rekap_tpp[], 0, 8), 0), 18), "NIP tidak ditemukan")</f>
        <v>NIP tidak ditemukan</v>
      </c>
      <c r="E19" s="223" t="str">
        <f>IFERROR(INDEX(rekap_tpp[], MATCH(MID(B19, FIND("NIP.", B19) + 4, LEN(B19)), INDEX(rekap_tpp[], 0, 8), 0), 17), "NIP tidak ditemukan")</f>
        <v>NIP tidak ditemukan</v>
      </c>
      <c r="F19" s="223" t="str">
        <f>IFERROR(INDEX(rekap_tpp[], MATCH(MID(B19, FIND("NIP.", B19) + 4, LEN(B19)), INDEX(rekap_tpp[], 0, 8), 0), 16), "NIP tidak ditemukan")</f>
        <v>NIP tidak ditemukan</v>
      </c>
      <c r="G19" s="223" t="str">
        <f>IFERROR(INDEX(rekap_tpp[], MATCH(MID(B19, FIND("NIP.", B19) + 4, LEN(B19)), INDEX(rekap_tpp[], 0, 8), 0), 19), "NIP tidak ditemukan")</f>
        <v>NIP tidak ditemukan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 t="str">
        <f>IFERROR(INDEX(rekap_tpp[], MATCH(MID(B20, FIND("NIP.", B20) + 4, LEN(B20)), INDEX(rekap_tpp[], 0, 8), 0), 15), "NIP tidak ditemukan")</f>
        <v>NIP tidak ditemukan</v>
      </c>
      <c r="D20" s="223" t="str">
        <f>IFERROR(INDEX(rekap_tpp[], MATCH(MID(B20, FIND("NIP.", B20) + 4, LEN(B20)), INDEX(rekap_tpp[], 0, 8), 0), 18), "NIP tidak ditemukan")</f>
        <v>NIP tidak ditemukan</v>
      </c>
      <c r="E20" s="223" t="str">
        <f>IFERROR(INDEX(rekap_tpp[], MATCH(MID(B20, FIND("NIP.", B20) + 4, LEN(B20)), INDEX(rekap_tpp[], 0, 8), 0), 17), "NIP tidak ditemukan")</f>
        <v>NIP tidak ditemukan</v>
      </c>
      <c r="F20" s="223" t="str">
        <f>IFERROR(INDEX(rekap_tpp[], MATCH(MID(B20, FIND("NIP.", B20) + 4, LEN(B20)), INDEX(rekap_tpp[], 0, 8), 0), 16), "NIP tidak ditemukan")</f>
        <v>NIP tidak ditemukan</v>
      </c>
      <c r="G20" s="223" t="str">
        <f>IFERROR(INDEX(rekap_tpp[], MATCH(MID(B20, FIND("NIP.", B20) + 4, LEN(B20)), INDEX(rekap_tpp[], 0, 8), 0), 19), "NIP tidak ditemukan")</f>
        <v>NIP tidak ditemukan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 t="str">
        <f>IFERROR(INDEX(rekap_tpp[], MATCH(MID(B21, FIND("NIP.", B21) + 4, LEN(B21)), INDEX(rekap_tpp[], 0, 8), 0), 15), "NIP tidak ditemukan")</f>
        <v>NIP tidak ditemukan</v>
      </c>
      <c r="D21" s="223" t="str">
        <f>IFERROR(INDEX(rekap_tpp[], MATCH(MID(B21, FIND("NIP.", B21) + 4, LEN(B21)), INDEX(rekap_tpp[], 0, 8), 0), 18), "NIP tidak ditemukan")</f>
        <v>NIP tidak ditemukan</v>
      </c>
      <c r="E21" s="223" t="str">
        <f>IFERROR(INDEX(rekap_tpp[], MATCH(MID(B21, FIND("NIP.", B21) + 4, LEN(B21)), INDEX(rekap_tpp[], 0, 8), 0), 17), "NIP tidak ditemukan")</f>
        <v>NIP tidak ditemukan</v>
      </c>
      <c r="F21" s="223" t="str">
        <f>IFERROR(INDEX(rekap_tpp[], MATCH(MID(B21, FIND("NIP.", B21) + 4, LEN(B21)), INDEX(rekap_tpp[], 0, 8), 0), 16), "NIP tidak ditemukan")</f>
        <v>NIP tidak ditemukan</v>
      </c>
      <c r="G21" s="223" t="str">
        <f>IFERROR(INDEX(rekap_tpp[], MATCH(MID(B21, FIND("NIP.", B21) + 4, LEN(B21)), INDEX(rekap_tpp[], 0, 8), 0), 19), "NIP tidak ditemukan")</f>
        <v>NIP tidak ditemukan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 t="str">
        <f>IFERROR(INDEX(rekap_tpp[], MATCH(MID(B22, FIND("NIP.", B22) + 4, LEN(B22)), INDEX(rekap_tpp[], 0, 8), 0), 15), "NIP tidak ditemukan")</f>
        <v>NIP tidak ditemukan</v>
      </c>
      <c r="D22" s="223" t="str">
        <f>IFERROR(INDEX(rekap_tpp[], MATCH(MID(B22, FIND("NIP.", B22) + 4, LEN(B22)), INDEX(rekap_tpp[], 0, 8), 0), 18), "NIP tidak ditemukan")</f>
        <v>NIP tidak ditemukan</v>
      </c>
      <c r="E22" s="223" t="str">
        <f>IFERROR(INDEX(rekap_tpp[], MATCH(MID(B22, FIND("NIP.", B22) + 4, LEN(B22)), INDEX(rekap_tpp[], 0, 8), 0), 17), "NIP tidak ditemukan")</f>
        <v>NIP tidak ditemukan</v>
      </c>
      <c r="F22" s="223" t="str">
        <f>IFERROR(INDEX(rekap_tpp[], MATCH(MID(B22, FIND("NIP.", B22) + 4, LEN(B22)), INDEX(rekap_tpp[], 0, 8), 0), 16), "NIP tidak ditemukan")</f>
        <v>NIP tidak ditemukan</v>
      </c>
      <c r="G22" s="223" t="str">
        <f>IFERROR(INDEX(rekap_tpp[], MATCH(MID(B22, FIND("NIP.", B22) + 4, LEN(B22)), INDEX(rekap_tpp[], 0, 8), 0), 19), "NIP tidak ditemukan")</f>
        <v>NIP tidak ditemukan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 t="str">
        <f>IFERROR(INDEX(rekap_tpp[], MATCH(MID(B23, FIND("NIP.", B23) + 4, LEN(B23)), INDEX(rekap_tpp[], 0, 8), 0), 15), "NIP tidak ditemukan")</f>
        <v>NIP tidak ditemukan</v>
      </c>
      <c r="D23" s="223" t="str">
        <f>IFERROR(INDEX(rekap_tpp[], MATCH(MID(B23, FIND("NIP.", B23) + 4, LEN(B23)), INDEX(rekap_tpp[], 0, 8), 0), 18), "NIP tidak ditemukan")</f>
        <v>NIP tidak ditemukan</v>
      </c>
      <c r="E23" s="223" t="str">
        <f>IFERROR(INDEX(rekap_tpp[], MATCH(MID(B23, FIND("NIP.", B23) + 4, LEN(B23)), INDEX(rekap_tpp[], 0, 8), 0), 17), "NIP tidak ditemukan")</f>
        <v>NIP tidak ditemukan</v>
      </c>
      <c r="F23" s="223" t="str">
        <f>IFERROR(INDEX(rekap_tpp[], MATCH(MID(B23, FIND("NIP.", B23) + 4, LEN(B23)), INDEX(rekap_tpp[], 0, 8), 0), 16), "NIP tidak ditemukan")</f>
        <v>NIP tidak ditemukan</v>
      </c>
      <c r="G23" s="223" t="str">
        <f>IFERROR(INDEX(rekap_tpp[], MATCH(MID(B23, FIND("NIP.", B23) + 4, LEN(B23)), INDEX(rekap_tpp[], 0, 8), 0), 19), "NIP tidak ditemukan")</f>
        <v>NIP tidak ditemukan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 t="str">
        <f>IFERROR(INDEX(rekap_tpp[], MATCH(MID(B24, FIND("NIP.", B24) + 4, LEN(B24)), INDEX(rekap_tpp[], 0, 8), 0), 15), "NIP tidak ditemukan")</f>
        <v>NIP tidak ditemukan</v>
      </c>
      <c r="D24" s="223" t="str">
        <f>IFERROR(INDEX(rekap_tpp[], MATCH(MID(B24, FIND("NIP.", B24) + 4, LEN(B24)), INDEX(rekap_tpp[], 0, 8), 0), 18), "NIP tidak ditemukan")</f>
        <v>NIP tidak ditemukan</v>
      </c>
      <c r="E24" s="223" t="str">
        <f>IFERROR(INDEX(rekap_tpp[], MATCH(MID(B24, FIND("NIP.", B24) + 4, LEN(B24)), INDEX(rekap_tpp[], 0, 8), 0), 17), "NIP tidak ditemukan")</f>
        <v>NIP tidak ditemukan</v>
      </c>
      <c r="F24" s="223" t="str">
        <f>IFERROR(INDEX(rekap_tpp[], MATCH(MID(B24, FIND("NIP.", B24) + 4, LEN(B24)), INDEX(rekap_tpp[], 0, 8), 0), 16), "NIP tidak ditemukan")</f>
        <v>NIP tidak ditemukan</v>
      </c>
      <c r="G24" s="223" t="str">
        <f>IFERROR(INDEX(rekap_tpp[], MATCH(MID(B24, FIND("NIP.", B24) + 4, LEN(B24)), INDEX(rekap_tpp[], 0, 8), 0), 19), "NIP tidak ditemukan")</f>
        <v>NIP tidak ditemukan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 t="str">
        <f>IFERROR(INDEX(rekap_tpp[], MATCH(MID(B25, FIND("NIP.", B25) + 4, LEN(B25)), INDEX(rekap_tpp[], 0, 8), 0), 15), "NIP tidak ditemukan")</f>
        <v>NIP tidak ditemukan</v>
      </c>
      <c r="D25" s="223" t="str">
        <f>IFERROR(INDEX(rekap_tpp[], MATCH(MID(B25, FIND("NIP.", B25) + 4, LEN(B25)), INDEX(rekap_tpp[], 0, 8), 0), 18), "NIP tidak ditemukan")</f>
        <v>NIP tidak ditemukan</v>
      </c>
      <c r="E25" s="223" t="str">
        <f>IFERROR(INDEX(rekap_tpp[], MATCH(MID(B25, FIND("NIP.", B25) + 4, LEN(B25)), INDEX(rekap_tpp[], 0, 8), 0), 17), "NIP tidak ditemukan")</f>
        <v>NIP tidak ditemukan</v>
      </c>
      <c r="F25" s="223" t="str">
        <f>IFERROR(INDEX(rekap_tpp[], MATCH(MID(B25, FIND("NIP.", B25) + 4, LEN(B25)), INDEX(rekap_tpp[], 0, 8), 0), 16), "NIP tidak ditemukan")</f>
        <v>NIP tidak ditemukan</v>
      </c>
      <c r="G25" s="223" t="str">
        <f>IFERROR(INDEX(rekap_tpp[], MATCH(MID(B25, FIND("NIP.", B25) + 4, LEN(B25)), INDEX(rekap_tpp[], 0, 8), 0), 19), "NIP tidak ditemukan")</f>
        <v>NIP tidak ditemukan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 t="str">
        <f>IFERROR(INDEX(rekap_tpp[], MATCH(MID(B26, FIND("NIP.", B26) + 4, LEN(B26)), INDEX(rekap_tpp[], 0, 8), 0), 15), "NIP tidak ditemukan")</f>
        <v>NIP tidak ditemukan</v>
      </c>
      <c r="D26" s="223" t="str">
        <f>IFERROR(INDEX(rekap_tpp[], MATCH(MID(B26, FIND("NIP.", B26) + 4, LEN(B26)), INDEX(rekap_tpp[], 0, 8), 0), 18), "NIP tidak ditemukan")</f>
        <v>NIP tidak ditemukan</v>
      </c>
      <c r="E26" s="223" t="str">
        <f>IFERROR(INDEX(rekap_tpp[], MATCH(MID(B26, FIND("NIP.", B26) + 4, LEN(B26)), INDEX(rekap_tpp[], 0, 8), 0), 17), "NIP tidak ditemukan")</f>
        <v>NIP tidak ditemukan</v>
      </c>
      <c r="F26" s="223" t="str">
        <f>IFERROR(INDEX(rekap_tpp[], MATCH(MID(B26, FIND("NIP.", B26) + 4, LEN(B26)), INDEX(rekap_tpp[], 0, 8), 0), 16), "NIP tidak ditemukan")</f>
        <v>NIP tidak ditemukan</v>
      </c>
      <c r="G26" s="223" t="str">
        <f>IFERROR(INDEX(rekap_tpp[], MATCH(MID(B26, FIND("NIP.", B26) + 4, LEN(B26)), INDEX(rekap_tpp[], 0, 8), 0), 19), "NIP tidak ditemukan")</f>
        <v>NIP tidak ditemukan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 t="str">
        <f>IFERROR(INDEX(rekap_tpp[], MATCH(MID(B27, FIND("NIP.", B27) + 4, LEN(B27)), INDEX(rekap_tpp[], 0, 8), 0), 15), "NIP tidak ditemukan")</f>
        <v>NIP tidak ditemukan</v>
      </c>
      <c r="D27" s="223" t="str">
        <f>IFERROR(INDEX(rekap_tpp[], MATCH(MID(B27, FIND("NIP.", B27) + 4, LEN(B27)), INDEX(rekap_tpp[], 0, 8), 0), 18), "NIP tidak ditemukan")</f>
        <v>NIP tidak ditemukan</v>
      </c>
      <c r="E27" s="223" t="str">
        <f>IFERROR(INDEX(rekap_tpp[], MATCH(MID(B27, FIND("NIP.", B27) + 4, LEN(B27)), INDEX(rekap_tpp[], 0, 8), 0), 17), "NIP tidak ditemukan")</f>
        <v>NIP tidak ditemukan</v>
      </c>
      <c r="F27" s="223" t="str">
        <f>IFERROR(INDEX(rekap_tpp[], MATCH(MID(B27, FIND("NIP.", B27) + 4, LEN(B27)), INDEX(rekap_tpp[], 0, 8), 0), 16), "NIP tidak ditemukan")</f>
        <v>NIP tidak ditemukan</v>
      </c>
      <c r="G27" s="223" t="str">
        <f>IFERROR(INDEX(rekap_tpp[], MATCH(MID(B27, FIND("NIP.", B27) + 4, LEN(B27)), INDEX(rekap_tpp[], 0, 8), 0), 19), "NIP tidak ditemukan")</f>
        <v>NIP tidak ditemukan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 t="str">
        <f>IFERROR(INDEX(rekap_tpp[], MATCH(MID(B28, FIND("NIP.", B28) + 4, LEN(B28)), INDEX(rekap_tpp[], 0, 8), 0), 15), "NIP tidak ditemukan")</f>
        <v>NIP tidak ditemukan</v>
      </c>
      <c r="D28" s="223" t="str">
        <f>IFERROR(INDEX(rekap_tpp[], MATCH(MID(B28, FIND("NIP.", B28) + 4, LEN(B28)), INDEX(rekap_tpp[], 0, 8), 0), 18), "NIP tidak ditemukan")</f>
        <v>NIP tidak ditemukan</v>
      </c>
      <c r="E28" s="223" t="str">
        <f>IFERROR(INDEX(rekap_tpp[], MATCH(MID(B28, FIND("NIP.", B28) + 4, LEN(B28)), INDEX(rekap_tpp[], 0, 8), 0), 17), "NIP tidak ditemukan")</f>
        <v>NIP tidak ditemukan</v>
      </c>
      <c r="F28" s="223" t="str">
        <f>IFERROR(INDEX(rekap_tpp[], MATCH(MID(B28, FIND("NIP.", B28) + 4, LEN(B28)), INDEX(rekap_tpp[], 0, 8), 0), 16), "NIP tidak ditemukan")</f>
        <v>NIP tidak ditemukan</v>
      </c>
      <c r="G28" s="223" t="str">
        <f>IFERROR(INDEX(rekap_tpp[], MATCH(MID(B28, FIND("NIP.", B28) + 4, LEN(B28)), INDEX(rekap_tpp[], 0, 8), 0), 19), "NIP tidak ditemukan")</f>
        <v>NIP tidak ditemukan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 t="str">
        <f>IFERROR(INDEX(rekap_tpp[], MATCH(MID(B29, FIND("NIP.", B29) + 4, LEN(B29)), INDEX(rekap_tpp[], 0, 8), 0), 15), "NIP tidak ditemukan")</f>
        <v>NIP tidak ditemukan</v>
      </c>
      <c r="D29" s="223" t="str">
        <f>IFERROR(INDEX(rekap_tpp[], MATCH(MID(B29, FIND("NIP.", B29) + 4, LEN(B29)), INDEX(rekap_tpp[], 0, 8), 0), 18), "NIP tidak ditemukan")</f>
        <v>NIP tidak ditemukan</v>
      </c>
      <c r="E29" s="223" t="str">
        <f>IFERROR(INDEX(rekap_tpp[], MATCH(MID(B29, FIND("NIP.", B29) + 4, LEN(B29)), INDEX(rekap_tpp[], 0, 8), 0), 17), "NIP tidak ditemukan")</f>
        <v>NIP tidak ditemukan</v>
      </c>
      <c r="F29" s="223" t="str">
        <f>IFERROR(INDEX(rekap_tpp[], MATCH(MID(B29, FIND("NIP.", B29) + 4, LEN(B29)), INDEX(rekap_tpp[], 0, 8), 0), 16), "NIP tidak ditemukan")</f>
        <v>NIP tidak ditemukan</v>
      </c>
      <c r="G29" s="223" t="str">
        <f>IFERROR(INDEX(rekap_tpp[], MATCH(MID(B29, FIND("NIP.", B29) + 4, LEN(B29)), INDEX(rekap_tpp[], 0, 8), 0), 19), "NIP tidak ditemukan")</f>
        <v>NIP tidak ditemukan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 t="str">
        <f>IFERROR(INDEX(rekap_tpp[], MATCH(MID(B30, FIND("NIP.", B30) + 4, LEN(B30)), INDEX(rekap_tpp[], 0, 8), 0), 15), "NIP tidak ditemukan")</f>
        <v>NIP tidak ditemukan</v>
      </c>
      <c r="D30" s="223" t="str">
        <f>IFERROR(INDEX(rekap_tpp[], MATCH(MID(B30, FIND("NIP.", B30) + 4, LEN(B30)), INDEX(rekap_tpp[], 0, 8), 0), 18), "NIP tidak ditemukan")</f>
        <v>NIP tidak ditemukan</v>
      </c>
      <c r="E30" s="223" t="str">
        <f>IFERROR(INDEX(rekap_tpp[], MATCH(MID(B30, FIND("NIP.", B30) + 4, LEN(B30)), INDEX(rekap_tpp[], 0, 8), 0), 17), "NIP tidak ditemukan")</f>
        <v>NIP tidak ditemukan</v>
      </c>
      <c r="F30" s="223" t="str">
        <f>IFERROR(INDEX(rekap_tpp[], MATCH(MID(B30, FIND("NIP.", B30) + 4, LEN(B30)), INDEX(rekap_tpp[], 0, 8), 0), 16), "NIP tidak ditemukan")</f>
        <v>NIP tidak ditemukan</v>
      </c>
      <c r="G30" s="223" t="str">
        <f>IFERROR(INDEX(rekap_tpp[], MATCH(MID(B30, FIND("NIP.", B30) + 4, LEN(B30)), INDEX(rekap_tpp[], 0, 8), 0), 19), "NIP tidak ditemukan")</f>
        <v>NIP tidak ditemukan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 t="str">
        <f>IFERROR(INDEX(rekap_tpp[], MATCH(MID(B31, FIND("NIP.", B31) + 4, LEN(B31)), INDEX(rekap_tpp[], 0, 8), 0), 15), "NIP tidak ditemukan")</f>
        <v>NIP tidak ditemukan</v>
      </c>
      <c r="D31" s="223" t="str">
        <f>IFERROR(INDEX(rekap_tpp[], MATCH(MID(B31, FIND("NIP.", B31) + 4, LEN(B31)), INDEX(rekap_tpp[], 0, 8), 0), 18), "NIP tidak ditemukan")</f>
        <v>NIP tidak ditemukan</v>
      </c>
      <c r="E31" s="223" t="str">
        <f>IFERROR(INDEX(rekap_tpp[], MATCH(MID(B31, FIND("NIP.", B31) + 4, LEN(B31)), INDEX(rekap_tpp[], 0, 8), 0), 17), "NIP tidak ditemukan")</f>
        <v>NIP tidak ditemukan</v>
      </c>
      <c r="F31" s="223" t="str">
        <f>IFERROR(INDEX(rekap_tpp[], MATCH(MID(B31, FIND("NIP.", B31) + 4, LEN(B31)), INDEX(rekap_tpp[], 0, 8), 0), 16), "NIP tidak ditemukan")</f>
        <v>NIP tidak ditemukan</v>
      </c>
      <c r="G31" s="223" t="str">
        <f>IFERROR(INDEX(rekap_tpp[], MATCH(MID(B31, FIND("NIP.", B31) + 4, LEN(B31)), INDEX(rekap_tpp[], 0, 8), 0), 19), "NIP tidak ditemukan")</f>
        <v>NIP tidak ditemukan</v>
      </c>
      <c r="H31" s="238"/>
    </row>
    <row r="32" spans="1:8" ht="27" customHeight="1" x14ac:dyDescent="0.35">
      <c r="A32" s="360" t="s">
        <v>67</v>
      </c>
      <c r="B32" s="361"/>
      <c r="C32" s="241">
        <f>SUM(C5:C31)</f>
        <v>0</v>
      </c>
      <c r="D32" s="241">
        <f>SUM(D5:D31)</f>
        <v>0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2"/>
      <c r="B33" s="363"/>
      <c r="C33" s="363"/>
      <c r="D33" s="363"/>
      <c r="E33" s="363"/>
      <c r="F33" s="363"/>
      <c r="G33" s="364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5" t="s">
        <v>58</v>
      </c>
      <c r="G41" s="359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8" t="s">
        <v>59</v>
      </c>
      <c r="G42" s="359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57" t="s">
        <v>1</v>
      </c>
      <c r="B5" s="357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57" t="s">
        <v>2</v>
      </c>
      <c r="B6" s="357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57" t="s">
        <v>3</v>
      </c>
      <c r="B7" s="357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69" t="s">
        <v>30</v>
      </c>
      <c r="B9" s="370" t="s">
        <v>5</v>
      </c>
      <c r="C9" s="370" t="s">
        <v>6</v>
      </c>
      <c r="D9" s="375" t="s">
        <v>31</v>
      </c>
      <c r="E9" s="366" t="s">
        <v>32</v>
      </c>
      <c r="F9" s="378" t="s">
        <v>33</v>
      </c>
      <c r="G9" s="379" t="s">
        <v>34</v>
      </c>
      <c r="H9" s="380"/>
      <c r="I9" s="380"/>
      <c r="J9" s="381"/>
      <c r="K9" s="369" t="s">
        <v>35</v>
      </c>
      <c r="L9" s="366" t="s">
        <v>18</v>
      </c>
      <c r="M9" s="366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67"/>
      <c r="B10" s="367"/>
      <c r="C10" s="367"/>
      <c r="D10" s="376"/>
      <c r="E10" s="367"/>
      <c r="F10" s="367"/>
      <c r="G10" s="371" t="s">
        <v>37</v>
      </c>
      <c r="H10" s="373" t="s">
        <v>38</v>
      </c>
      <c r="I10" s="373" t="s">
        <v>39</v>
      </c>
      <c r="J10" s="374" t="s">
        <v>40</v>
      </c>
      <c r="K10" s="367"/>
      <c r="L10" s="367"/>
      <c r="M10" s="367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68"/>
      <c r="B11" s="368"/>
      <c r="C11" s="368"/>
      <c r="D11" s="377"/>
      <c r="E11" s="368"/>
      <c r="F11" s="368"/>
      <c r="G11" s="372"/>
      <c r="H11" s="368"/>
      <c r="I11" s="368"/>
      <c r="J11" s="368"/>
      <c r="K11" s="368"/>
      <c r="L11" s="368"/>
      <c r="M11" s="368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NIP tidak ditemukan</v>
      </c>
      <c r="E12" s="13" t="str">
        <f>bpjs!E9</f>
        <v>NIP tidak ditemukan</v>
      </c>
      <c r="F12" s="13" t="str">
        <f>IFERROR(INDEX(rekap_tpp[], MATCH(MID(B12, FIND("NIP.", B12) + 4, LEN(B12)), INDEX(rekap_tpp[], 0, 8), 0), 4), "NIP tidak ditemukan")</f>
        <v>NIP tidak ditemukan</v>
      </c>
      <c r="G12" s="187" t="e">
        <f>bpjs!H9-bpjs!I9</f>
        <v>#VALUE!</v>
      </c>
      <c r="H12" s="188">
        <v>0</v>
      </c>
      <c r="I12" s="221">
        <v>1</v>
      </c>
      <c r="J12" s="188" t="e">
        <f>G12*I12</f>
        <v>#VALUE!</v>
      </c>
      <c r="K12" s="188"/>
      <c r="L12" s="188" t="e">
        <f>J12-K12</f>
        <v>#VALUE!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NIP tidak ditemukan</v>
      </c>
      <c r="E13" s="14" t="str">
        <f>bpjs!E10</f>
        <v>NIP tidak ditemukan</v>
      </c>
      <c r="F13" s="13" t="str">
        <f>IFERROR(INDEX(rekap_tpp[], MATCH(MID(B13, FIND("NIP.", B13) + 4, LEN(B13)), INDEX(rekap_tpp[], 0, 8), 0), 4), "NIP tidak ditemukan")</f>
        <v>NIP tidak ditemukan</v>
      </c>
      <c r="G13" s="187" t="e">
        <f>bpjs!H10-bpjs!I10</f>
        <v>#VALUE!</v>
      </c>
      <c r="H13" s="188">
        <v>0</v>
      </c>
      <c r="I13" s="221">
        <v>1</v>
      </c>
      <c r="J13" s="188" t="e">
        <f t="shared" ref="J13:J27" si="1">G13*I13</f>
        <v>#VALUE!</v>
      </c>
      <c r="K13" s="188"/>
      <c r="L13" s="188" t="e">
        <f t="shared" ref="L13:L27" si="2">J13-K13</f>
        <v>#VALUE!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NIP tidak ditemukan</v>
      </c>
      <c r="E14" s="14" t="str">
        <f>bpjs!E11</f>
        <v>NIP tidak ditemukan</v>
      </c>
      <c r="F14" s="13" t="str">
        <f>IFERROR(INDEX(rekap_tpp[], MATCH(MID(B14, FIND("NIP.", B14) + 4, LEN(B14)), INDEX(rekap_tpp[], 0, 8), 0), 4), "NIP tidak ditemukan")</f>
        <v>NIP tidak ditemukan</v>
      </c>
      <c r="G14" s="187" t="e">
        <f>bpjs!H11-bpjs!I11</f>
        <v>#VALUE!</v>
      </c>
      <c r="H14" s="188">
        <v>0</v>
      </c>
      <c r="I14" s="221">
        <v>1</v>
      </c>
      <c r="J14" s="188" t="e">
        <f t="shared" si="1"/>
        <v>#VALUE!</v>
      </c>
      <c r="K14" s="188"/>
      <c r="L14" s="188" t="e">
        <f t="shared" si="2"/>
        <v>#VALUE!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NIP tidak ditemukan</v>
      </c>
      <c r="E15" s="14" t="str">
        <f>bpjs!E12</f>
        <v>NIP tidak ditemukan</v>
      </c>
      <c r="F15" s="13" t="str">
        <f>IFERROR(INDEX(rekap_tpp[], MATCH(MID(B15, FIND("NIP.", B15) + 4, LEN(B15)), INDEX(rekap_tpp[], 0, 8), 0), 4), "NIP tidak ditemukan")</f>
        <v>NIP tidak ditemukan</v>
      </c>
      <c r="G15" s="187" t="e">
        <f>bpjs!H12-bpjs!I12</f>
        <v>#VALUE!</v>
      </c>
      <c r="H15" s="188">
        <v>0</v>
      </c>
      <c r="I15" s="221">
        <v>1</v>
      </c>
      <c r="J15" s="188" t="e">
        <f t="shared" si="1"/>
        <v>#VALUE!</v>
      </c>
      <c r="K15" s="188"/>
      <c r="L15" s="188" t="e">
        <f t="shared" si="2"/>
        <v>#VALUE!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NIP tidak ditemukan</v>
      </c>
      <c r="E16" s="14" t="str">
        <f>bpjs!E13</f>
        <v>NIP tidak ditemukan</v>
      </c>
      <c r="F16" s="13" t="str">
        <f>IFERROR(INDEX(rekap_tpp[], MATCH(MID(B16, FIND("NIP.", B16) + 4, LEN(B16)), INDEX(rekap_tpp[], 0, 8), 0), 4), "NIP tidak ditemukan")</f>
        <v>NIP tidak ditemukan</v>
      </c>
      <c r="G16" s="187" t="e">
        <f>bpjs!H13-bpjs!I13</f>
        <v>#VALUE!</v>
      </c>
      <c r="H16" s="188">
        <v>0</v>
      </c>
      <c r="I16" s="221">
        <v>1</v>
      </c>
      <c r="J16" s="188" t="e">
        <f t="shared" si="1"/>
        <v>#VALUE!</v>
      </c>
      <c r="K16" s="188"/>
      <c r="L16" s="188" t="e">
        <f t="shared" si="2"/>
        <v>#VALUE!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NIP tidak ditemukan</v>
      </c>
      <c r="E17" s="14" t="str">
        <f>bpjs!E14</f>
        <v>NIP tidak ditemukan</v>
      </c>
      <c r="F17" s="13" t="str">
        <f>IFERROR(INDEX(rekap_tpp[], MATCH(MID(B17, FIND("NIP.", B17) + 4, LEN(B17)), INDEX(rekap_tpp[], 0, 8), 0), 4), "NIP tidak ditemukan")</f>
        <v>NIP tidak ditemukan</v>
      </c>
      <c r="G17" s="187" t="e">
        <f>bpjs!H14-bpjs!I14</f>
        <v>#VALUE!</v>
      </c>
      <c r="H17" s="188">
        <v>0</v>
      </c>
      <c r="I17" s="221">
        <v>1</v>
      </c>
      <c r="J17" s="188" t="e">
        <f t="shared" si="1"/>
        <v>#VALUE!</v>
      </c>
      <c r="K17" s="188"/>
      <c r="L17" s="188" t="e">
        <f t="shared" si="2"/>
        <v>#VALUE!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NIP tidak ditemukan</v>
      </c>
      <c r="E18" s="14" t="str">
        <f>bpjs!E15</f>
        <v>NIP tidak ditemukan</v>
      </c>
      <c r="F18" s="13" t="str">
        <f>IFERROR(INDEX(rekap_tpp[], MATCH(MID(B18, FIND("NIP.", B18) + 4, LEN(B18)), INDEX(rekap_tpp[], 0, 8), 0), 4), "NIP tidak ditemukan")</f>
        <v>NIP tidak ditemukan</v>
      </c>
      <c r="G18" s="187" t="e">
        <f>bpjs!H15-bpjs!I15</f>
        <v>#VALUE!</v>
      </c>
      <c r="H18" s="188">
        <v>0</v>
      </c>
      <c r="I18" s="221">
        <v>1</v>
      </c>
      <c r="J18" s="188" t="e">
        <f t="shared" si="1"/>
        <v>#VALUE!</v>
      </c>
      <c r="K18" s="188"/>
      <c r="L18" s="188" t="e">
        <f t="shared" si="2"/>
        <v>#VALUE!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NIP tidak ditemukan</v>
      </c>
      <c r="E19" s="14" t="str">
        <f>bpjs!E16</f>
        <v>NIP tidak ditemukan</v>
      </c>
      <c r="F19" s="13" t="str">
        <f>IFERROR(INDEX(rekap_tpp[], MATCH(MID(B19, FIND("NIP.", B19) + 4, LEN(B19)), INDEX(rekap_tpp[], 0, 8), 0), 4), "NIP tidak ditemukan")</f>
        <v>NIP tidak ditemukan</v>
      </c>
      <c r="G19" s="187" t="e">
        <f>bpjs!H16-bpjs!I16</f>
        <v>#VALUE!</v>
      </c>
      <c r="H19" s="188">
        <v>0</v>
      </c>
      <c r="I19" s="221">
        <v>1</v>
      </c>
      <c r="J19" s="188" t="e">
        <f t="shared" si="1"/>
        <v>#VALUE!</v>
      </c>
      <c r="K19" s="188"/>
      <c r="L19" s="188" t="e">
        <f t="shared" si="2"/>
        <v>#VALUE!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NIP tidak ditemukan</v>
      </c>
      <c r="E20" s="14" t="str">
        <f>bpjs!E17</f>
        <v>NIP tidak ditemukan</v>
      </c>
      <c r="F20" s="13" t="str">
        <f>IFERROR(INDEX(rekap_tpp[], MATCH(MID(B20, FIND("NIP.", B20) + 4, LEN(B20)), INDEX(rekap_tpp[], 0, 8), 0), 4), "NIP tidak ditemukan")</f>
        <v>NIP tidak ditemukan</v>
      </c>
      <c r="G20" s="187" t="e">
        <f>bpjs!H17-bpjs!I17</f>
        <v>#VALUE!</v>
      </c>
      <c r="H20" s="188">
        <v>0</v>
      </c>
      <c r="I20" s="221">
        <v>1</v>
      </c>
      <c r="J20" s="188" t="e">
        <f t="shared" si="1"/>
        <v>#VALUE!</v>
      </c>
      <c r="K20" s="188"/>
      <c r="L20" s="188" t="e">
        <f t="shared" si="2"/>
        <v>#VALUE!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NIP tidak ditemukan</v>
      </c>
      <c r="E21" s="14" t="str">
        <f>bpjs!E18</f>
        <v>NIP tidak ditemukan</v>
      </c>
      <c r="F21" s="13" t="str">
        <f>IFERROR(INDEX(rekap_tpp[], MATCH(MID(B21, FIND("NIP.", B21) + 4, LEN(B21)), INDEX(rekap_tpp[], 0, 8), 0), 4), "NIP tidak ditemukan")</f>
        <v>NIP tidak ditemukan</v>
      </c>
      <c r="G21" s="187" t="e">
        <f>bpjs!H18-bpjs!I18</f>
        <v>#VALUE!</v>
      </c>
      <c r="H21" s="188">
        <v>0</v>
      </c>
      <c r="I21" s="221">
        <v>1</v>
      </c>
      <c r="J21" s="188" t="e">
        <f t="shared" si="1"/>
        <v>#VALUE!</v>
      </c>
      <c r="K21" s="188"/>
      <c r="L21" s="188" t="e">
        <f t="shared" si="2"/>
        <v>#VALUE!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NIP tidak ditemukan</v>
      </c>
      <c r="E22" s="14" t="str">
        <f>bpjs!E19</f>
        <v>NIP tidak ditemukan</v>
      </c>
      <c r="F22" s="13" t="str">
        <f>IFERROR(INDEX(rekap_tpp[], MATCH(MID(B22, FIND("NIP.", B22) + 4, LEN(B22)), INDEX(rekap_tpp[], 0, 8), 0), 4), "NIP tidak ditemukan")</f>
        <v>NIP tidak ditemukan</v>
      </c>
      <c r="G22" s="187" t="e">
        <f>bpjs!H19-bpjs!I19</f>
        <v>#VALUE!</v>
      </c>
      <c r="H22" s="188">
        <v>0</v>
      </c>
      <c r="I22" s="221">
        <v>1</v>
      </c>
      <c r="J22" s="188" t="e">
        <f t="shared" si="1"/>
        <v>#VALUE!</v>
      </c>
      <c r="K22" s="188"/>
      <c r="L22" s="188" t="e">
        <f t="shared" si="2"/>
        <v>#VALUE!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NIP tidak ditemukan</v>
      </c>
      <c r="E23" s="14" t="str">
        <f>bpjs!E20</f>
        <v>NIP tidak ditemukan</v>
      </c>
      <c r="F23" s="13" t="str">
        <f>IFERROR(INDEX(rekap_tpp[], MATCH(MID(B23, FIND("NIP.", B23) + 4, LEN(B23)), INDEX(rekap_tpp[], 0, 8), 0), 4), "NIP tidak ditemukan")</f>
        <v>NIP tidak ditemukan</v>
      </c>
      <c r="G23" s="187" t="e">
        <f>bpjs!H20-bpjs!I20</f>
        <v>#VALUE!</v>
      </c>
      <c r="H23" s="188">
        <v>0</v>
      </c>
      <c r="I23" s="221">
        <v>1</v>
      </c>
      <c r="J23" s="188" t="e">
        <f t="shared" si="1"/>
        <v>#VALUE!</v>
      </c>
      <c r="K23" s="188"/>
      <c r="L23" s="188" t="e">
        <f t="shared" si="2"/>
        <v>#VALUE!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NIP tidak ditemukan</v>
      </c>
      <c r="E24" s="14" t="str">
        <f>bpjs!E21</f>
        <v>NIP tidak ditemukan</v>
      </c>
      <c r="F24" s="13" t="str">
        <f>IFERROR(INDEX(rekap_tpp[], MATCH(MID(B24, FIND("NIP.", B24) + 4, LEN(B24)), INDEX(rekap_tpp[], 0, 8), 0), 4), "NIP tidak ditemukan")</f>
        <v>NIP tidak ditemukan</v>
      </c>
      <c r="G24" s="187" t="e">
        <f>bpjs!H21-bpjs!I21</f>
        <v>#VALUE!</v>
      </c>
      <c r="H24" s="188">
        <v>0</v>
      </c>
      <c r="I24" s="221">
        <v>1</v>
      </c>
      <c r="J24" s="188" t="e">
        <f t="shared" si="1"/>
        <v>#VALUE!</v>
      </c>
      <c r="K24" s="188"/>
      <c r="L24" s="188" t="e">
        <f t="shared" si="2"/>
        <v>#VALUE!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NIP tidak ditemukan</v>
      </c>
      <c r="E25" s="14" t="str">
        <f>bpjs!E22</f>
        <v>NIP tidak ditemukan</v>
      </c>
      <c r="F25" s="13" t="str">
        <f>IFERROR(INDEX(rekap_tpp[], MATCH(MID(B25, FIND("NIP.", B25) + 4, LEN(B25)), INDEX(rekap_tpp[], 0, 8), 0), 4), "NIP tidak ditemukan")</f>
        <v>NIP tidak ditemukan</v>
      </c>
      <c r="G25" s="187" t="e">
        <f>bpjs!H22-bpjs!I22</f>
        <v>#VALUE!</v>
      </c>
      <c r="H25" s="188">
        <v>0</v>
      </c>
      <c r="I25" s="221">
        <v>1</v>
      </c>
      <c r="J25" s="188" t="e">
        <f t="shared" si="1"/>
        <v>#VALUE!</v>
      </c>
      <c r="K25" s="188"/>
      <c r="L25" s="188" t="e">
        <f t="shared" si="2"/>
        <v>#VALUE!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NIP tidak ditemukan</v>
      </c>
      <c r="E26" s="14" t="str">
        <f>bpjs!E23</f>
        <v>NIP tidak ditemukan</v>
      </c>
      <c r="F26" s="13" t="str">
        <f>IFERROR(INDEX(rekap_tpp[], MATCH(MID(B26, FIND("NIP.", B26) + 4, LEN(B26)), INDEX(rekap_tpp[], 0, 8), 0), 4), "NIP tidak ditemukan")</f>
        <v>NIP tidak ditemukan</v>
      </c>
      <c r="G26" s="187" t="e">
        <f>bpjs!H23-bpjs!I23</f>
        <v>#VALUE!</v>
      </c>
      <c r="H26" s="188">
        <v>0</v>
      </c>
      <c r="I26" s="221">
        <v>1</v>
      </c>
      <c r="J26" s="188" t="e">
        <f t="shared" si="1"/>
        <v>#VALUE!</v>
      </c>
      <c r="K26" s="188"/>
      <c r="L26" s="188" t="e">
        <f t="shared" si="2"/>
        <v>#VALUE!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NIP tidak ditemukan</v>
      </c>
      <c r="E27" s="14" t="str">
        <f>bpjs!E24</f>
        <v>NIP tidak ditemukan</v>
      </c>
      <c r="F27" s="13" t="str">
        <f>IFERROR(INDEX(rekap_tpp[], MATCH(MID(B27, FIND("NIP.", B27) + 4, LEN(B27)), INDEX(rekap_tpp[], 0, 8), 0), 4), "NIP tidak ditemukan")</f>
        <v>NIP tidak ditemukan</v>
      </c>
      <c r="G27" s="187" t="e">
        <f>bpjs!H24-bpjs!I24</f>
        <v>#VALUE!</v>
      </c>
      <c r="H27" s="188">
        <v>0</v>
      </c>
      <c r="I27" s="221">
        <v>1</v>
      </c>
      <c r="J27" s="188" t="e">
        <f t="shared" si="1"/>
        <v>#VALUE!</v>
      </c>
      <c r="K27" s="188"/>
      <c r="L27" s="188" t="e">
        <f t="shared" si="2"/>
        <v>#VALUE!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NIP tidak ditemukan</v>
      </c>
      <c r="E28" s="14" t="str">
        <f>bpjs!E25</f>
        <v>NIP tidak ditemukan</v>
      </c>
      <c r="F28" s="13" t="str">
        <f>IFERROR(INDEX(rekap_tpp[], MATCH(MID(B28, FIND("NIP.", B28) + 4, LEN(B28)), INDEX(rekap_tpp[], 0, 8), 0), 4), "NIP tidak ditemukan")</f>
        <v>NIP tidak ditemukan</v>
      </c>
      <c r="G28" s="187" t="e">
        <f>bpjs!H25-bpjs!I25</f>
        <v>#VALUE!</v>
      </c>
      <c r="H28" s="188">
        <v>0</v>
      </c>
      <c r="I28" s="221">
        <v>1</v>
      </c>
      <c r="J28" s="188" t="e">
        <f t="shared" ref="J28:J38" si="4">G28*I28</f>
        <v>#VALUE!</v>
      </c>
      <c r="K28" s="188"/>
      <c r="L28" s="188" t="e">
        <f t="shared" ref="L28:L38" si="5">J28-K28</f>
        <v>#VALUE!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NIP tidak ditemukan</v>
      </c>
      <c r="E29" s="14" t="str">
        <f>bpjs!E26</f>
        <v>NIP tidak ditemukan</v>
      </c>
      <c r="F29" s="13" t="str">
        <f>IFERROR(INDEX(rekap_tpp[], MATCH(MID(B29, FIND("NIP.", B29) + 4, LEN(B29)), INDEX(rekap_tpp[], 0, 8), 0), 4), "NIP tidak ditemukan")</f>
        <v>NIP tidak ditemukan</v>
      </c>
      <c r="G29" s="187" t="e">
        <f>bpjs!H26-bpjs!I26</f>
        <v>#VALUE!</v>
      </c>
      <c r="H29" s="188">
        <v>0</v>
      </c>
      <c r="I29" s="221">
        <v>1</v>
      </c>
      <c r="J29" s="188" t="e">
        <f t="shared" si="4"/>
        <v>#VALUE!</v>
      </c>
      <c r="K29" s="188"/>
      <c r="L29" s="188" t="e">
        <f t="shared" si="5"/>
        <v>#VALUE!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NIP tidak ditemukan</v>
      </c>
      <c r="E30" s="14" t="str">
        <f>bpjs!E27</f>
        <v>NIP tidak ditemukan</v>
      </c>
      <c r="F30" s="13" t="str">
        <f>IFERROR(INDEX(rekap_tpp[], MATCH(MID(B30, FIND("NIP.", B30) + 4, LEN(B30)), INDEX(rekap_tpp[], 0, 8), 0), 4), "NIP tidak ditemukan")</f>
        <v>NIP tidak ditemukan</v>
      </c>
      <c r="G30" s="187" t="e">
        <f>bpjs!H27-bpjs!I27</f>
        <v>#VALUE!</v>
      </c>
      <c r="H30" s="188">
        <v>0</v>
      </c>
      <c r="I30" s="221">
        <v>1</v>
      </c>
      <c r="J30" s="188" t="e">
        <f t="shared" si="4"/>
        <v>#VALUE!</v>
      </c>
      <c r="K30" s="188"/>
      <c r="L30" s="188" t="e">
        <f t="shared" si="5"/>
        <v>#VALUE!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NIP tidak ditemukan</v>
      </c>
      <c r="E31" s="14" t="str">
        <f>bpjs!E28</f>
        <v>NIP tidak ditemukan</v>
      </c>
      <c r="F31" s="13" t="str">
        <f>IFERROR(INDEX(rekap_tpp[], MATCH(MID(B31, FIND("NIP.", B31) + 4, LEN(B31)), INDEX(rekap_tpp[], 0, 8), 0), 4), "NIP tidak ditemukan")</f>
        <v>NIP tidak ditemukan</v>
      </c>
      <c r="G31" s="187" t="e">
        <f>bpjs!H28-bpjs!I28</f>
        <v>#VALUE!</v>
      </c>
      <c r="H31" s="188">
        <v>0</v>
      </c>
      <c r="I31" s="221">
        <v>1</v>
      </c>
      <c r="J31" s="188" t="e">
        <f t="shared" si="4"/>
        <v>#VALUE!</v>
      </c>
      <c r="K31" s="188"/>
      <c r="L31" s="188" t="e">
        <f t="shared" si="5"/>
        <v>#VALUE!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NIP tidak ditemukan</v>
      </c>
      <c r="E32" s="14" t="str">
        <f>bpjs!E29</f>
        <v>NIP tidak ditemukan</v>
      </c>
      <c r="F32" s="13" t="str">
        <f>IFERROR(INDEX(rekap_tpp[], MATCH(MID(B32, FIND("NIP.", B32) + 4, LEN(B32)), INDEX(rekap_tpp[], 0, 8), 0), 4), "NIP tidak ditemukan")</f>
        <v>NIP tidak ditemukan</v>
      </c>
      <c r="G32" s="187" t="e">
        <f>bpjs!H29-bpjs!I29</f>
        <v>#VALUE!</v>
      </c>
      <c r="H32" s="188">
        <v>0</v>
      </c>
      <c r="I32" s="221">
        <v>1</v>
      </c>
      <c r="J32" s="188" t="e">
        <f t="shared" si="4"/>
        <v>#VALUE!</v>
      </c>
      <c r="K32" s="188"/>
      <c r="L32" s="188" t="e">
        <f t="shared" si="5"/>
        <v>#VALUE!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NIP tidak ditemukan</v>
      </c>
      <c r="E33" s="14" t="str">
        <f>bpjs!E30</f>
        <v>NIP tidak ditemukan</v>
      </c>
      <c r="F33" s="13" t="str">
        <f>IFERROR(INDEX(rekap_tpp[], MATCH(MID(B33, FIND("NIP.", B33) + 4, LEN(B33)), INDEX(rekap_tpp[], 0, 8), 0), 4), "NIP tidak ditemukan")</f>
        <v>NIP tidak ditemukan</v>
      </c>
      <c r="G33" s="187" t="e">
        <f>bpjs!H30-bpjs!I30</f>
        <v>#VALUE!</v>
      </c>
      <c r="H33" s="188">
        <v>0</v>
      </c>
      <c r="I33" s="221">
        <v>1</v>
      </c>
      <c r="J33" s="188" t="e">
        <f t="shared" si="4"/>
        <v>#VALUE!</v>
      </c>
      <c r="K33" s="188"/>
      <c r="L33" s="188" t="e">
        <f t="shared" si="5"/>
        <v>#VALUE!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NIP tidak ditemukan</v>
      </c>
      <c r="E34" s="14" t="str">
        <f>bpjs!E31</f>
        <v>NIP tidak ditemukan</v>
      </c>
      <c r="F34" s="13" t="str">
        <f>IFERROR(INDEX(rekap_tpp[], MATCH(MID(B34, FIND("NIP.", B34) + 4, LEN(B34)), INDEX(rekap_tpp[], 0, 8), 0), 4), "NIP tidak ditemukan")</f>
        <v>NIP tidak ditemukan</v>
      </c>
      <c r="G34" s="187" t="e">
        <f>bpjs!H31-bpjs!I31</f>
        <v>#VALUE!</v>
      </c>
      <c r="H34" s="188">
        <v>0</v>
      </c>
      <c r="I34" s="221">
        <v>1</v>
      </c>
      <c r="J34" s="188" t="e">
        <f t="shared" si="4"/>
        <v>#VALUE!</v>
      </c>
      <c r="K34" s="188"/>
      <c r="L34" s="188" t="e">
        <f t="shared" si="5"/>
        <v>#VALUE!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NIP tidak ditemukan</v>
      </c>
      <c r="E35" s="14" t="str">
        <f>bpjs!E32</f>
        <v>NIP tidak ditemukan</v>
      </c>
      <c r="F35" s="13" t="str">
        <f>IFERROR(INDEX(rekap_tpp[], MATCH(MID(B35, FIND("NIP.", B35) + 4, LEN(B35)), INDEX(rekap_tpp[], 0, 8), 0), 4), "NIP tidak ditemukan")</f>
        <v>NIP tidak ditemukan</v>
      </c>
      <c r="G35" s="187" t="e">
        <f>bpjs!H32-bpjs!I32</f>
        <v>#VALUE!</v>
      </c>
      <c r="H35" s="188">
        <v>0</v>
      </c>
      <c r="I35" s="221">
        <v>1</v>
      </c>
      <c r="J35" s="188" t="e">
        <f t="shared" si="4"/>
        <v>#VALUE!</v>
      </c>
      <c r="K35" s="188"/>
      <c r="L35" s="188" t="e">
        <f t="shared" si="5"/>
        <v>#VALUE!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NIP tidak ditemukan</v>
      </c>
      <c r="E36" s="14" t="str">
        <f>bpjs!E33</f>
        <v>NIP tidak ditemukan</v>
      </c>
      <c r="F36" s="13" t="str">
        <f>IFERROR(INDEX(rekap_tpp[], MATCH(MID(B36, FIND("NIP.", B36) + 4, LEN(B36)), INDEX(rekap_tpp[], 0, 8), 0), 4), "NIP tidak ditemukan")</f>
        <v>NIP tidak ditemukan</v>
      </c>
      <c r="G36" s="187" t="e">
        <f>bpjs!H33-bpjs!I33</f>
        <v>#VALUE!</v>
      </c>
      <c r="H36" s="188">
        <v>0</v>
      </c>
      <c r="I36" s="221">
        <v>1</v>
      </c>
      <c r="J36" s="188" t="e">
        <f t="shared" si="4"/>
        <v>#VALUE!</v>
      </c>
      <c r="K36" s="188"/>
      <c r="L36" s="188" t="e">
        <f t="shared" si="5"/>
        <v>#VALUE!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NIP tidak ditemukan</v>
      </c>
      <c r="E37" s="14" t="str">
        <f>bpjs!E34</f>
        <v>NIP tidak ditemukan</v>
      </c>
      <c r="F37" s="13" t="str">
        <f>IFERROR(INDEX(rekap_tpp[], MATCH(MID(B37, FIND("NIP.", B37) + 4, LEN(B37)), INDEX(rekap_tpp[], 0, 8), 0), 4), "NIP tidak ditemukan")</f>
        <v>NIP tidak ditemukan</v>
      </c>
      <c r="G37" s="187" t="e">
        <f>bpjs!H34-bpjs!I34</f>
        <v>#VALUE!</v>
      </c>
      <c r="H37" s="188">
        <v>0</v>
      </c>
      <c r="I37" s="221">
        <v>1</v>
      </c>
      <c r="J37" s="188" t="e">
        <f t="shared" si="4"/>
        <v>#VALUE!</v>
      </c>
      <c r="K37" s="188"/>
      <c r="L37" s="188" t="e">
        <f t="shared" si="5"/>
        <v>#VALUE!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NIP tidak ditemukan</v>
      </c>
      <c r="E38" s="14" t="str">
        <f>bpjs!E35</f>
        <v>NIP tidak ditemukan</v>
      </c>
      <c r="F38" s="13" t="str">
        <f>IFERROR(INDEX(rekap_tpp[], MATCH(MID(B38, FIND("NIP.", B38) + 4, LEN(B38)), INDEX(rekap_tpp[], 0, 8), 0), 4), "NIP tidak ditemukan")</f>
        <v>NIP tidak ditemukan</v>
      </c>
      <c r="G38" s="187" t="e">
        <f>bpjs!H35-bpjs!I35</f>
        <v>#VALUE!</v>
      </c>
      <c r="H38" s="188">
        <v>0</v>
      </c>
      <c r="I38" s="221">
        <v>1</v>
      </c>
      <c r="J38" s="188" t="e">
        <f t="shared" si="4"/>
        <v>#VALUE!</v>
      </c>
      <c r="K38" s="188"/>
      <c r="L38" s="188" t="e">
        <f t="shared" si="5"/>
        <v>#VALUE!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 t="e">
        <f>SUM(G12:G38)</f>
        <v>#VALUE!</v>
      </c>
      <c r="H39" s="245">
        <f t="shared" ref="H39:L39" si="6">SUM(H12:H38)</f>
        <v>0</v>
      </c>
      <c r="I39" s="246"/>
      <c r="J39" s="245" t="e">
        <f t="shared" si="6"/>
        <v>#VALUE!</v>
      </c>
      <c r="K39" s="245">
        <f t="shared" si="6"/>
        <v>0</v>
      </c>
      <c r="L39" s="245" t="e">
        <f t="shared" si="6"/>
        <v>#VALUE!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 t="e">
        <f>'daftar nominatif'!G39</f>
        <v>#VALUE!</v>
      </c>
      <c r="D8" s="224">
        <f>bpjs!O36</f>
        <v>0</v>
      </c>
      <c r="E8" s="224" t="e">
        <f>bpjs!M36</f>
        <v>#VALUE!</v>
      </c>
      <c r="F8" s="224" t="e">
        <f>bpjs!L36</f>
        <v>#VALUE!</v>
      </c>
      <c r="G8" s="224" t="e">
        <f>C8-D8-E8</f>
        <v>#VALUE!</v>
      </c>
      <c r="H8" s="61">
        <f>COUNTIFS(bpjs!F:F,"IV/*")</f>
        <v>0</v>
      </c>
      <c r="I8" s="61">
        <f>COUNTIFS(bpjs!F:F,"III/*")</f>
        <v>0</v>
      </c>
      <c r="J8" s="61">
        <f>COUNTIFS(bpjs!F:F,"II/*")</f>
        <v>0</v>
      </c>
      <c r="K8" s="61">
        <f>COUNTIFS(bpjs!F:F,"I/*")</f>
        <v>0</v>
      </c>
      <c r="L8" s="62">
        <f>SUM(H8:K8)</f>
        <v>0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 t="e">
        <f t="shared" ref="C9:L9" si="0">SUM(C8)</f>
        <v>#VALUE!</v>
      </c>
      <c r="D9" s="225">
        <f t="shared" si="0"/>
        <v>0</v>
      </c>
      <c r="E9" s="225" t="e">
        <f t="shared" si="0"/>
        <v>#VALUE!</v>
      </c>
      <c r="F9" s="225" t="e">
        <f t="shared" si="0"/>
        <v>#VALUE!</v>
      </c>
      <c r="G9" s="225" t="e">
        <f t="shared" si="0"/>
        <v>#VALUE!</v>
      </c>
      <c r="H9" s="65">
        <f t="shared" si="0"/>
        <v>0</v>
      </c>
      <c r="I9" s="65">
        <f t="shared" si="0"/>
        <v>0</v>
      </c>
      <c r="J9" s="65">
        <f t="shared" si="0"/>
        <v>0</v>
      </c>
      <c r="K9" s="65">
        <f t="shared" si="0"/>
        <v>0</v>
      </c>
      <c r="L9" s="64">
        <f t="shared" si="0"/>
        <v>0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2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3" t="s">
        <v>96</v>
      </c>
      <c r="D7" s="384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 t="str">
        <f>IFERROR(INDEX(rekap_tpp[], MATCH(MID(B8, FIND("NIP.", B8) + 4, LEN(B8)), INDEX(rekap_tpp[], 0, 8), 0), 11), "NIP tidak ditemukan")</f>
        <v>NIP tidak ditemukan</v>
      </c>
      <c r="E8" s="166" t="e">
        <f>bpjs!R9</f>
        <v>#VALUE!</v>
      </c>
      <c r="F8" s="167"/>
      <c r="G8" s="168"/>
      <c r="H8" s="168" t="str">
        <f>IFERROR(INDEX(rekap_tpp[], MATCH(MID(B8, FIND("NIP.", B8) + 4, LEN(B8)), INDEX(rekap_tpp[], 0, 8), 0), 31), "NIP tidak ditemukan")</f>
        <v>NIP tidak ditemukan</v>
      </c>
      <c r="I8" s="168">
        <v>0</v>
      </c>
      <c r="J8" s="169" t="e">
        <f>E8-F8-G8-H8-I8</f>
        <v>#VALUE!</v>
      </c>
      <c r="K8" s="168" t="e">
        <f>E8-F8-G8-I8</f>
        <v>#VALUE!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 t="str">
        <f>IFERROR(INDEX(rekap_tpp[], MATCH(MID(B9, FIND("NIP.", B9) + 4, LEN(B9)), INDEX(rekap_tpp[], 0, 8), 0), 11), "NIP tidak ditemukan")</f>
        <v>NIP tidak ditemukan</v>
      </c>
      <c r="E9" s="166" t="e">
        <f>bpjs!R10</f>
        <v>#VALUE!</v>
      </c>
      <c r="F9" s="167"/>
      <c r="G9" s="168"/>
      <c r="H9" s="168" t="str">
        <f>IFERROR(INDEX(rekap_tpp[], MATCH(MID(B9, FIND("NIP.", B9) + 4, LEN(B9)), INDEX(rekap_tpp[], 0, 8), 0), 31), "NIP tidak ditemukan")</f>
        <v>NIP tidak ditemukan</v>
      </c>
      <c r="I9" s="168">
        <v>0</v>
      </c>
      <c r="J9" s="169" t="e">
        <f t="shared" ref="J9:J34" si="1">E9-F9-G9-H9-I9</f>
        <v>#VALUE!</v>
      </c>
      <c r="K9" s="168" t="e">
        <f t="shared" ref="K9:K34" si="2">E9-F9-G9-I9</f>
        <v>#VALUE!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 t="str">
        <f>IFERROR(INDEX(rekap_tpp[], MATCH(MID(B10, FIND("NIP.", B10) + 4, LEN(B10)), INDEX(rekap_tpp[], 0, 8), 0), 11), "NIP tidak ditemukan")</f>
        <v>NIP tidak ditemukan</v>
      </c>
      <c r="E10" s="166" t="e">
        <f>bpjs!R11</f>
        <v>#VALUE!</v>
      </c>
      <c r="F10" s="167"/>
      <c r="G10" s="168"/>
      <c r="H10" s="168" t="str">
        <f>IFERROR(INDEX(rekap_tpp[], MATCH(MID(B10, FIND("NIP.", B10) + 4, LEN(B10)), INDEX(rekap_tpp[], 0, 8), 0), 31), "NIP tidak ditemukan")</f>
        <v>NIP tidak ditemukan</v>
      </c>
      <c r="I10" s="168">
        <v>0</v>
      </c>
      <c r="J10" s="169" t="e">
        <f t="shared" si="1"/>
        <v>#VALUE!</v>
      </c>
      <c r="K10" s="168" t="e">
        <f t="shared" si="2"/>
        <v>#VALUE!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 t="str">
        <f>IFERROR(INDEX(rekap_tpp[], MATCH(MID(B11, FIND("NIP.", B11) + 4, LEN(B11)), INDEX(rekap_tpp[], 0, 8), 0), 11), "NIP tidak ditemukan")</f>
        <v>NIP tidak ditemukan</v>
      </c>
      <c r="E11" s="166" t="e">
        <f>bpjs!R12</f>
        <v>#VALUE!</v>
      </c>
      <c r="F11" s="167"/>
      <c r="G11" s="168"/>
      <c r="H11" s="168" t="str">
        <f>IFERROR(INDEX(rekap_tpp[], MATCH(MID(B11, FIND("NIP.", B11) + 4, LEN(B11)), INDEX(rekap_tpp[], 0, 8), 0), 31), "NIP tidak ditemukan")</f>
        <v>NIP tidak ditemukan</v>
      </c>
      <c r="I11" s="168">
        <v>0</v>
      </c>
      <c r="J11" s="169" t="e">
        <f t="shared" si="1"/>
        <v>#VALUE!</v>
      </c>
      <c r="K11" s="168" t="e">
        <f t="shared" si="2"/>
        <v>#VALUE!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 t="str">
        <f>IFERROR(INDEX(rekap_tpp[], MATCH(MID(B12, FIND("NIP.", B12) + 4, LEN(B12)), INDEX(rekap_tpp[], 0, 8), 0), 11), "NIP tidak ditemukan")</f>
        <v>NIP tidak ditemukan</v>
      </c>
      <c r="E12" s="166" t="e">
        <f>bpjs!R13</f>
        <v>#VALUE!</v>
      </c>
      <c r="F12" s="167"/>
      <c r="G12" s="168"/>
      <c r="H12" s="168" t="str">
        <f>IFERROR(INDEX(rekap_tpp[], MATCH(MID(B12, FIND("NIP.", B12) + 4, LEN(B12)), INDEX(rekap_tpp[], 0, 8), 0), 31), "NIP tidak ditemukan")</f>
        <v>NIP tidak ditemukan</v>
      </c>
      <c r="I12" s="168">
        <v>0</v>
      </c>
      <c r="J12" s="169" t="e">
        <f t="shared" si="1"/>
        <v>#VALUE!</v>
      </c>
      <c r="K12" s="168" t="e">
        <f t="shared" si="2"/>
        <v>#VALUE!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 t="str">
        <f>IFERROR(INDEX(rekap_tpp[], MATCH(MID(B13, FIND("NIP.", B13) + 4, LEN(B13)), INDEX(rekap_tpp[], 0, 8), 0), 11), "NIP tidak ditemukan")</f>
        <v>NIP tidak ditemukan</v>
      </c>
      <c r="E13" s="166" t="e">
        <f>bpjs!R14</f>
        <v>#VALUE!</v>
      </c>
      <c r="F13" s="167"/>
      <c r="G13" s="168"/>
      <c r="H13" s="168" t="str">
        <f>IFERROR(INDEX(rekap_tpp[], MATCH(MID(B13, FIND("NIP.", B13) + 4, LEN(B13)), INDEX(rekap_tpp[], 0, 8), 0), 31), "NIP tidak ditemukan")</f>
        <v>NIP tidak ditemukan</v>
      </c>
      <c r="I13" s="168">
        <v>0</v>
      </c>
      <c r="J13" s="169" t="e">
        <f t="shared" si="1"/>
        <v>#VALUE!</v>
      </c>
      <c r="K13" s="168" t="e">
        <f t="shared" si="2"/>
        <v>#VALUE!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 t="str">
        <f>IFERROR(INDEX(rekap_tpp[], MATCH(MID(B14, FIND("NIP.", B14) + 4, LEN(B14)), INDEX(rekap_tpp[], 0, 8), 0), 11), "NIP tidak ditemukan")</f>
        <v>NIP tidak ditemukan</v>
      </c>
      <c r="E14" s="166" t="e">
        <f>bpjs!R15</f>
        <v>#VALUE!</v>
      </c>
      <c r="F14" s="167"/>
      <c r="G14" s="168"/>
      <c r="H14" s="168" t="str">
        <f>IFERROR(INDEX(rekap_tpp[], MATCH(MID(B14, FIND("NIP.", B14) + 4, LEN(B14)), INDEX(rekap_tpp[], 0, 8), 0), 31), "NIP tidak ditemukan")</f>
        <v>NIP tidak ditemukan</v>
      </c>
      <c r="I14" s="168">
        <v>0</v>
      </c>
      <c r="J14" s="169" t="e">
        <f t="shared" si="1"/>
        <v>#VALUE!</v>
      </c>
      <c r="K14" s="168" t="e">
        <f t="shared" si="2"/>
        <v>#VALUE!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 t="str">
        <f>IFERROR(INDEX(rekap_tpp[], MATCH(MID(B15, FIND("NIP.", B15) + 4, LEN(B15)), INDEX(rekap_tpp[], 0, 8), 0), 11), "NIP tidak ditemukan")</f>
        <v>NIP tidak ditemukan</v>
      </c>
      <c r="E15" s="166" t="e">
        <f>bpjs!R16</f>
        <v>#VALUE!</v>
      </c>
      <c r="F15" s="167"/>
      <c r="G15" s="168"/>
      <c r="H15" s="168" t="str">
        <f>IFERROR(INDEX(rekap_tpp[], MATCH(MID(B15, FIND("NIP.", B15) + 4, LEN(B15)), INDEX(rekap_tpp[], 0, 8), 0), 31), "NIP tidak ditemukan")</f>
        <v>NIP tidak ditemukan</v>
      </c>
      <c r="I15" s="168">
        <v>0</v>
      </c>
      <c r="J15" s="169" t="e">
        <f t="shared" si="1"/>
        <v>#VALUE!</v>
      </c>
      <c r="K15" s="168" t="e">
        <f t="shared" si="2"/>
        <v>#VALUE!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 t="str">
        <f>IFERROR(INDEX(rekap_tpp[], MATCH(MID(B16, FIND("NIP.", B16) + 4, LEN(B16)), INDEX(rekap_tpp[], 0, 8), 0), 11), "NIP tidak ditemukan")</f>
        <v>NIP tidak ditemukan</v>
      </c>
      <c r="E16" s="166" t="e">
        <f>bpjs!R17</f>
        <v>#VALUE!</v>
      </c>
      <c r="F16" s="167"/>
      <c r="G16" s="168"/>
      <c r="H16" s="168" t="str">
        <f>IFERROR(INDEX(rekap_tpp[], MATCH(MID(B16, FIND("NIP.", B16) + 4, LEN(B16)), INDEX(rekap_tpp[], 0, 8), 0), 31), "NIP tidak ditemukan")</f>
        <v>NIP tidak ditemukan</v>
      </c>
      <c r="I16" s="168">
        <v>0</v>
      </c>
      <c r="J16" s="169" t="e">
        <f t="shared" si="1"/>
        <v>#VALUE!</v>
      </c>
      <c r="K16" s="168" t="e">
        <f t="shared" si="2"/>
        <v>#VALUE!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 t="str">
        <f>IFERROR(INDEX(rekap_tpp[], MATCH(MID(B17, FIND("NIP.", B17) + 4, LEN(B17)), INDEX(rekap_tpp[], 0, 8), 0), 11), "NIP tidak ditemukan")</f>
        <v>NIP tidak ditemukan</v>
      </c>
      <c r="E17" s="166" t="e">
        <f>bpjs!R18</f>
        <v>#VALUE!</v>
      </c>
      <c r="F17" s="167"/>
      <c r="G17" s="168"/>
      <c r="H17" s="168" t="str">
        <f>IFERROR(INDEX(rekap_tpp[], MATCH(MID(B17, FIND("NIP.", B17) + 4, LEN(B17)), INDEX(rekap_tpp[], 0, 8), 0), 31), "NIP tidak ditemukan")</f>
        <v>NIP tidak ditemukan</v>
      </c>
      <c r="I17" s="168">
        <v>0</v>
      </c>
      <c r="J17" s="169" t="e">
        <f t="shared" si="1"/>
        <v>#VALUE!</v>
      </c>
      <c r="K17" s="168" t="e">
        <f t="shared" si="2"/>
        <v>#VALUE!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 t="str">
        <f>IFERROR(INDEX(rekap_tpp[], MATCH(MID(B18, FIND("NIP.", B18) + 4, LEN(B18)), INDEX(rekap_tpp[], 0, 8), 0), 11), "NIP tidak ditemukan")</f>
        <v>NIP tidak ditemukan</v>
      </c>
      <c r="E18" s="166" t="e">
        <f>bpjs!R19</f>
        <v>#VALUE!</v>
      </c>
      <c r="F18" s="167"/>
      <c r="G18" s="168"/>
      <c r="H18" s="168" t="str">
        <f>IFERROR(INDEX(rekap_tpp[], MATCH(MID(B18, FIND("NIP.", B18) + 4, LEN(B18)), INDEX(rekap_tpp[], 0, 8), 0), 31), "NIP tidak ditemukan")</f>
        <v>NIP tidak ditemukan</v>
      </c>
      <c r="I18" s="168">
        <v>0</v>
      </c>
      <c r="J18" s="169" t="e">
        <f t="shared" si="1"/>
        <v>#VALUE!</v>
      </c>
      <c r="K18" s="168" t="e">
        <f t="shared" si="2"/>
        <v>#VALUE!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 t="str">
        <f>IFERROR(INDEX(rekap_tpp[], MATCH(MID(B19, FIND("NIP.", B19) + 4, LEN(B19)), INDEX(rekap_tpp[], 0, 8), 0), 11), "NIP tidak ditemukan")</f>
        <v>NIP tidak ditemukan</v>
      </c>
      <c r="E19" s="166" t="e">
        <f>bpjs!R20</f>
        <v>#VALUE!</v>
      </c>
      <c r="F19" s="167"/>
      <c r="G19" s="168"/>
      <c r="H19" s="168" t="str">
        <f>IFERROR(INDEX(rekap_tpp[], MATCH(MID(B19, FIND("NIP.", B19) + 4, LEN(B19)), INDEX(rekap_tpp[], 0, 8), 0), 31), "NIP tidak ditemukan")</f>
        <v>NIP tidak ditemukan</v>
      </c>
      <c r="I19" s="168">
        <v>0</v>
      </c>
      <c r="J19" s="169" t="e">
        <f t="shared" si="1"/>
        <v>#VALUE!</v>
      </c>
      <c r="K19" s="168" t="e">
        <f t="shared" si="2"/>
        <v>#VALUE!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 t="str">
        <f>IFERROR(INDEX(rekap_tpp[], MATCH(MID(B20, FIND("NIP.", B20) + 4, LEN(B20)), INDEX(rekap_tpp[], 0, 8), 0), 11), "NIP tidak ditemukan")</f>
        <v>NIP tidak ditemukan</v>
      </c>
      <c r="E20" s="166" t="e">
        <f>bpjs!R21</f>
        <v>#VALUE!</v>
      </c>
      <c r="F20" s="167"/>
      <c r="G20" s="168"/>
      <c r="H20" s="168" t="str">
        <f>IFERROR(INDEX(rekap_tpp[], MATCH(MID(B20, FIND("NIP.", B20) + 4, LEN(B20)), INDEX(rekap_tpp[], 0, 8), 0), 31), "NIP tidak ditemukan")</f>
        <v>NIP tidak ditemukan</v>
      </c>
      <c r="I20" s="168">
        <v>0</v>
      </c>
      <c r="J20" s="169" t="e">
        <f t="shared" si="1"/>
        <v>#VALUE!</v>
      </c>
      <c r="K20" s="168" t="e">
        <f t="shared" si="2"/>
        <v>#VALUE!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 t="str">
        <f>IFERROR(INDEX(rekap_tpp[], MATCH(MID(B21, FIND("NIP.", B21) + 4, LEN(B21)), INDEX(rekap_tpp[], 0, 8), 0), 11), "NIP tidak ditemukan")</f>
        <v>NIP tidak ditemukan</v>
      </c>
      <c r="E21" s="166" t="e">
        <f>bpjs!R22</f>
        <v>#VALUE!</v>
      </c>
      <c r="F21" s="167"/>
      <c r="G21" s="168"/>
      <c r="H21" s="168" t="str">
        <f>IFERROR(INDEX(rekap_tpp[], MATCH(MID(B21, FIND("NIP.", B21) + 4, LEN(B21)), INDEX(rekap_tpp[], 0, 8), 0), 31), "NIP tidak ditemukan")</f>
        <v>NIP tidak ditemukan</v>
      </c>
      <c r="I21" s="168">
        <v>0</v>
      </c>
      <c r="J21" s="169" t="e">
        <f t="shared" si="1"/>
        <v>#VALUE!</v>
      </c>
      <c r="K21" s="168" t="e">
        <f t="shared" si="2"/>
        <v>#VALUE!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 t="str">
        <f>IFERROR(INDEX(rekap_tpp[], MATCH(MID(B22, FIND("NIP.", B22) + 4, LEN(B22)), INDEX(rekap_tpp[], 0, 8), 0), 11), "NIP tidak ditemukan")</f>
        <v>NIP tidak ditemukan</v>
      </c>
      <c r="E22" s="166" t="e">
        <f>bpjs!R23</f>
        <v>#VALUE!</v>
      </c>
      <c r="F22" s="167"/>
      <c r="G22" s="168"/>
      <c r="H22" s="168" t="str">
        <f>IFERROR(INDEX(rekap_tpp[], MATCH(MID(B22, FIND("NIP.", B22) + 4, LEN(B22)), INDEX(rekap_tpp[], 0, 8), 0), 31), "NIP tidak ditemukan")</f>
        <v>NIP tidak ditemukan</v>
      </c>
      <c r="I22" s="168">
        <v>0</v>
      </c>
      <c r="J22" s="169" t="e">
        <f t="shared" si="1"/>
        <v>#VALUE!</v>
      </c>
      <c r="K22" s="168" t="e">
        <f t="shared" si="2"/>
        <v>#VALUE!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 t="str">
        <f>IFERROR(INDEX(rekap_tpp[], MATCH(MID(B23, FIND("NIP.", B23) + 4, LEN(B23)), INDEX(rekap_tpp[], 0, 8), 0), 11), "NIP tidak ditemukan")</f>
        <v>NIP tidak ditemukan</v>
      </c>
      <c r="E23" s="166" t="e">
        <f>bpjs!R24</f>
        <v>#VALUE!</v>
      </c>
      <c r="F23" s="167"/>
      <c r="G23" s="168"/>
      <c r="H23" s="168" t="str">
        <f>IFERROR(INDEX(rekap_tpp[], MATCH(MID(B23, FIND("NIP.", B23) + 4, LEN(B23)), INDEX(rekap_tpp[], 0, 8), 0), 31), "NIP tidak ditemukan")</f>
        <v>NIP tidak ditemukan</v>
      </c>
      <c r="I23" s="168">
        <v>0</v>
      </c>
      <c r="J23" s="169" t="e">
        <f t="shared" si="1"/>
        <v>#VALUE!</v>
      </c>
      <c r="K23" s="168" t="e">
        <f t="shared" si="2"/>
        <v>#VALUE!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 t="str">
        <f>IFERROR(INDEX(rekap_tpp[], MATCH(MID(B24, FIND("NIP.", B24) + 4, LEN(B24)), INDEX(rekap_tpp[], 0, 8), 0), 11), "NIP tidak ditemukan")</f>
        <v>NIP tidak ditemukan</v>
      </c>
      <c r="E24" s="166" t="e">
        <f>bpjs!R25</f>
        <v>#VALUE!</v>
      </c>
      <c r="F24" s="167"/>
      <c r="G24" s="168"/>
      <c r="H24" s="168" t="str">
        <f>IFERROR(INDEX(rekap_tpp[], MATCH(MID(B24, FIND("NIP.", B24) + 4, LEN(B24)), INDEX(rekap_tpp[], 0, 8), 0), 31), "NIP tidak ditemukan")</f>
        <v>NIP tidak ditemukan</v>
      </c>
      <c r="I24" s="168">
        <v>0</v>
      </c>
      <c r="J24" s="169" t="e">
        <f t="shared" si="1"/>
        <v>#VALUE!</v>
      </c>
      <c r="K24" s="168" t="e">
        <f t="shared" si="2"/>
        <v>#VALUE!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 t="str">
        <f>IFERROR(INDEX(rekap_tpp[], MATCH(MID(B25, FIND("NIP.", B25) + 4, LEN(B25)), INDEX(rekap_tpp[], 0, 8), 0), 11), "NIP tidak ditemukan")</f>
        <v>NIP tidak ditemukan</v>
      </c>
      <c r="E25" s="166" t="e">
        <f>bpjs!R26</f>
        <v>#VALUE!</v>
      </c>
      <c r="F25" s="167"/>
      <c r="G25" s="168"/>
      <c r="H25" s="168" t="str">
        <f>IFERROR(INDEX(rekap_tpp[], MATCH(MID(B25, FIND("NIP.", B25) + 4, LEN(B25)), INDEX(rekap_tpp[], 0, 8), 0), 31), "NIP tidak ditemukan")</f>
        <v>NIP tidak ditemukan</v>
      </c>
      <c r="I25" s="168">
        <v>0</v>
      </c>
      <c r="J25" s="169" t="e">
        <f t="shared" si="1"/>
        <v>#VALUE!</v>
      </c>
      <c r="K25" s="168" t="e">
        <f t="shared" si="2"/>
        <v>#VALUE!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 t="str">
        <f>IFERROR(INDEX(rekap_tpp[], MATCH(MID(B26, FIND("NIP.", B26) + 4, LEN(B26)), INDEX(rekap_tpp[], 0, 8), 0), 11), "NIP tidak ditemukan")</f>
        <v>NIP tidak ditemukan</v>
      </c>
      <c r="E26" s="166" t="e">
        <f>bpjs!R27</f>
        <v>#VALUE!</v>
      </c>
      <c r="F26" s="167"/>
      <c r="G26" s="168"/>
      <c r="H26" s="168" t="str">
        <f>IFERROR(INDEX(rekap_tpp[], MATCH(MID(B26, FIND("NIP.", B26) + 4, LEN(B26)), INDEX(rekap_tpp[], 0, 8), 0), 31), "NIP tidak ditemukan")</f>
        <v>NIP tidak ditemukan</v>
      </c>
      <c r="I26" s="168">
        <v>0</v>
      </c>
      <c r="J26" s="169" t="e">
        <f t="shared" si="1"/>
        <v>#VALUE!</v>
      </c>
      <c r="K26" s="168" t="e">
        <f t="shared" si="2"/>
        <v>#VALUE!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 t="str">
        <f>IFERROR(INDEX(rekap_tpp[], MATCH(MID(B27, FIND("NIP.", B27) + 4, LEN(B27)), INDEX(rekap_tpp[], 0, 8), 0), 11), "NIP tidak ditemukan")</f>
        <v>NIP tidak ditemukan</v>
      </c>
      <c r="E27" s="166" t="e">
        <f>bpjs!R28</f>
        <v>#VALUE!</v>
      </c>
      <c r="F27" s="167"/>
      <c r="G27" s="168"/>
      <c r="H27" s="168" t="str">
        <f>IFERROR(INDEX(rekap_tpp[], MATCH(MID(B27, FIND("NIP.", B27) + 4, LEN(B27)), INDEX(rekap_tpp[], 0, 8), 0), 31), "NIP tidak ditemukan")</f>
        <v>NIP tidak ditemukan</v>
      </c>
      <c r="I27" s="168">
        <v>0</v>
      </c>
      <c r="J27" s="169" t="e">
        <f t="shared" si="1"/>
        <v>#VALUE!</v>
      </c>
      <c r="K27" s="168" t="e">
        <f t="shared" si="2"/>
        <v>#VALUE!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 t="str">
        <f>IFERROR(INDEX(rekap_tpp[], MATCH(MID(B28, FIND("NIP.", B28) + 4, LEN(B28)), INDEX(rekap_tpp[], 0, 8), 0), 11), "NIP tidak ditemukan")</f>
        <v>NIP tidak ditemukan</v>
      </c>
      <c r="E28" s="166" t="e">
        <f>bpjs!R29</f>
        <v>#VALUE!</v>
      </c>
      <c r="F28" s="167"/>
      <c r="G28" s="168"/>
      <c r="H28" s="168" t="str">
        <f>IFERROR(INDEX(rekap_tpp[], MATCH(MID(B28, FIND("NIP.", B28) + 4, LEN(B28)), INDEX(rekap_tpp[], 0, 8), 0), 31), "NIP tidak ditemukan")</f>
        <v>NIP tidak ditemukan</v>
      </c>
      <c r="I28" s="168">
        <v>0</v>
      </c>
      <c r="J28" s="169" t="e">
        <f t="shared" si="1"/>
        <v>#VALUE!</v>
      </c>
      <c r="K28" s="168" t="e">
        <f t="shared" si="2"/>
        <v>#VALUE!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 t="str">
        <f>IFERROR(INDEX(rekap_tpp[], MATCH(MID(B29, FIND("NIP.", B29) + 4, LEN(B29)), INDEX(rekap_tpp[], 0, 8), 0), 11), "NIP tidak ditemukan")</f>
        <v>NIP tidak ditemukan</v>
      </c>
      <c r="E29" s="166" t="e">
        <f>bpjs!R30</f>
        <v>#VALUE!</v>
      </c>
      <c r="F29" s="167"/>
      <c r="G29" s="168"/>
      <c r="H29" s="168" t="str">
        <f>IFERROR(INDEX(rekap_tpp[], MATCH(MID(B29, FIND("NIP.", B29) + 4, LEN(B29)), INDEX(rekap_tpp[], 0, 8), 0), 31), "NIP tidak ditemukan")</f>
        <v>NIP tidak ditemukan</v>
      </c>
      <c r="I29" s="168">
        <v>0</v>
      </c>
      <c r="J29" s="169" t="e">
        <f t="shared" si="1"/>
        <v>#VALUE!</v>
      </c>
      <c r="K29" s="168" t="e">
        <f t="shared" si="2"/>
        <v>#VALUE!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 t="str">
        <f>IFERROR(INDEX(rekap_tpp[], MATCH(MID(B30, FIND("NIP.", B30) + 4, LEN(B30)), INDEX(rekap_tpp[], 0, 8), 0), 11), "NIP tidak ditemukan")</f>
        <v>NIP tidak ditemukan</v>
      </c>
      <c r="E30" s="166" t="e">
        <f>bpjs!R31</f>
        <v>#VALUE!</v>
      </c>
      <c r="F30" s="167"/>
      <c r="G30" s="168"/>
      <c r="H30" s="168" t="str">
        <f>IFERROR(INDEX(rekap_tpp[], MATCH(MID(B30, FIND("NIP.", B30) + 4, LEN(B30)), INDEX(rekap_tpp[], 0, 8), 0), 31), "NIP tidak ditemukan")</f>
        <v>NIP tidak ditemukan</v>
      </c>
      <c r="I30" s="168">
        <v>0</v>
      </c>
      <c r="J30" s="169" t="e">
        <f t="shared" si="1"/>
        <v>#VALUE!</v>
      </c>
      <c r="K30" s="168" t="e">
        <f t="shared" si="2"/>
        <v>#VALUE!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 t="str">
        <f>IFERROR(INDEX(rekap_tpp[], MATCH(MID(B31, FIND("NIP.", B31) + 4, LEN(B31)), INDEX(rekap_tpp[], 0, 8), 0), 11), "NIP tidak ditemukan")</f>
        <v>NIP tidak ditemukan</v>
      </c>
      <c r="E31" s="166" t="e">
        <f>bpjs!R32</f>
        <v>#VALUE!</v>
      </c>
      <c r="F31" s="167"/>
      <c r="G31" s="168"/>
      <c r="H31" s="168" t="str">
        <f>IFERROR(INDEX(rekap_tpp[], MATCH(MID(B31, FIND("NIP.", B31) + 4, LEN(B31)), INDEX(rekap_tpp[], 0, 8), 0), 31), "NIP tidak ditemukan")</f>
        <v>NIP tidak ditemukan</v>
      </c>
      <c r="I31" s="168">
        <v>0</v>
      </c>
      <c r="J31" s="169" t="e">
        <f t="shared" si="1"/>
        <v>#VALUE!</v>
      </c>
      <c r="K31" s="168" t="e">
        <f t="shared" si="2"/>
        <v>#VALUE!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 t="str">
        <f>IFERROR(INDEX(rekap_tpp[], MATCH(MID(B32, FIND("NIP.", B32) + 4, LEN(B32)), INDEX(rekap_tpp[], 0, 8), 0), 11), "NIP tidak ditemukan")</f>
        <v>NIP tidak ditemukan</v>
      </c>
      <c r="E32" s="166" t="e">
        <f>bpjs!R33</f>
        <v>#VALUE!</v>
      </c>
      <c r="F32" s="167"/>
      <c r="G32" s="168"/>
      <c r="H32" s="168" t="str">
        <f>IFERROR(INDEX(rekap_tpp[], MATCH(MID(B32, FIND("NIP.", B32) + 4, LEN(B32)), INDEX(rekap_tpp[], 0, 8), 0), 31), "NIP tidak ditemukan")</f>
        <v>NIP tidak ditemukan</v>
      </c>
      <c r="I32" s="168">
        <v>0</v>
      </c>
      <c r="J32" s="169" t="e">
        <f t="shared" si="1"/>
        <v>#VALUE!</v>
      </c>
      <c r="K32" s="168" t="e">
        <f t="shared" si="2"/>
        <v>#VALUE!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 t="str">
        <f>IFERROR(INDEX(rekap_tpp[], MATCH(MID(B33, FIND("NIP.", B33) + 4, LEN(B33)), INDEX(rekap_tpp[], 0, 8), 0), 11), "NIP tidak ditemukan")</f>
        <v>NIP tidak ditemukan</v>
      </c>
      <c r="E33" s="166" t="e">
        <f>bpjs!R34</f>
        <v>#VALUE!</v>
      </c>
      <c r="F33" s="167"/>
      <c r="G33" s="168"/>
      <c r="H33" s="168" t="str">
        <f>IFERROR(INDEX(rekap_tpp[], MATCH(MID(B33, FIND("NIP.", B33) + 4, LEN(B33)), INDEX(rekap_tpp[], 0, 8), 0), 31), "NIP tidak ditemukan")</f>
        <v>NIP tidak ditemukan</v>
      </c>
      <c r="I33" s="168">
        <v>0</v>
      </c>
      <c r="J33" s="169" t="e">
        <f t="shared" si="1"/>
        <v>#VALUE!</v>
      </c>
      <c r="K33" s="168" t="e">
        <f t="shared" si="2"/>
        <v>#VALUE!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 t="str">
        <f>IFERROR(INDEX(rekap_tpp[], MATCH(MID(B34, FIND("NIP.", B34) + 4, LEN(B34)), INDEX(rekap_tpp[], 0, 8), 0), 11), "NIP tidak ditemukan")</f>
        <v>NIP tidak ditemukan</v>
      </c>
      <c r="E34" s="166" t="e">
        <f>bpjs!R35</f>
        <v>#VALUE!</v>
      </c>
      <c r="F34" s="167"/>
      <c r="G34" s="168"/>
      <c r="H34" s="168" t="str">
        <f>IFERROR(INDEX(rekap_tpp[], MATCH(MID(B34, FIND("NIP.", B34) + 4, LEN(B34)), INDEX(rekap_tpp[], 0, 8), 0), 31), "NIP tidak ditemukan")</f>
        <v>NIP tidak ditemukan</v>
      </c>
      <c r="I34" s="168">
        <v>0</v>
      </c>
      <c r="J34" s="169" t="e">
        <f t="shared" si="1"/>
        <v>#VALUE!</v>
      </c>
      <c r="K34" s="168" t="e">
        <f t="shared" si="2"/>
        <v>#VALUE!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 t="e">
        <f>SUM(E8:E34)</f>
        <v>#VALUE!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0</v>
      </c>
      <c r="I35" s="234">
        <f t="shared" si="3"/>
        <v>0</v>
      </c>
      <c r="J35" s="234" t="e">
        <f t="shared" si="3"/>
        <v>#VALUE!</v>
      </c>
      <c r="K35" s="234" t="e">
        <f t="shared" si="3"/>
        <v>#VALUE!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6" t="s">
        <v>220</v>
      </c>
      <c r="B8" s="386"/>
      <c r="C8" s="386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85" t="e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#VALUE!</v>
      </c>
      <c r="C19" s="385"/>
      <c r="J19" s="292"/>
    </row>
    <row r="20" spans="1:10" s="183" customFormat="1" ht="53" customHeight="1" x14ac:dyDescent="0.35">
      <c r="A20" s="303" t="s">
        <v>231</v>
      </c>
      <c r="B20" s="385" t="s">
        <v>228</v>
      </c>
      <c r="C20" s="385"/>
    </row>
    <row r="21" spans="1:10" s="183" customFormat="1" ht="93" customHeight="1" x14ac:dyDescent="0.35">
      <c r="A21" s="303" t="s">
        <v>232</v>
      </c>
      <c r="B21" s="385" t="s">
        <v>229</v>
      </c>
      <c r="C21" s="385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NIP tidak ditemukan</v>
      </c>
      <c r="B2" s="266" t="str">
        <f>bank!C8</f>
        <v>ALFIKRI</v>
      </c>
      <c r="C2" s="267" t="str">
        <f>bpjs!D9</f>
        <v>NIP tidak ditemukan</v>
      </c>
      <c r="D2" s="268" t="str">
        <f>IFERROR(INDEX(rekap_tpp[], MATCH(A2, INDEX(rekap_tpp[], 0, 8), 0), 10), "NIP tidak ditemukan")</f>
        <v>NIP tidak ditemukan</v>
      </c>
      <c r="E2" s="269" t="str">
        <f>IFERROR(INDEX(rekap_tpp[], MATCH(A2, INDEX(rekap_tpp[], 0, 8), 0), 9), "NIP tidak ditemukan")</f>
        <v>NIP tidak ditemukan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NIP tidak ditemukan</v>
      </c>
      <c r="K2" s="271"/>
      <c r="L2" s="270"/>
      <c r="M2" s="271" t="s">
        <v>143</v>
      </c>
      <c r="N2" s="270">
        <v>120</v>
      </c>
      <c r="O2" s="270" t="s">
        <v>144</v>
      </c>
      <c r="P2" s="272" t="str">
        <f>IFERROR(INDEX(rekap_tpp[], MATCH(A2, INDEX(rekap_tpp[], 0, 8), 0), 11), "NIP tidak ditemukan")</f>
        <v>NIP tidak ditemukan</v>
      </c>
      <c r="Q2" s="273" t="str">
        <f>'rekap nominatif etukin'!C5</f>
        <v>NIP tidak ditemukan</v>
      </c>
      <c r="R2" s="273" t="str">
        <f>'rekap nominatif etukin'!D5</f>
        <v>NIP tidak ditemukan</v>
      </c>
      <c r="S2" s="273" t="str">
        <f>'rekap nominatif etukin'!E5</f>
        <v>NIP tidak ditemukan</v>
      </c>
      <c r="T2" s="273" t="str">
        <f>'rekap nominatif etukin'!F5</f>
        <v>NIP tidak ditemukan</v>
      </c>
      <c r="U2" s="273" t="str">
        <f>'rekap nominatif etukin'!G5</f>
        <v>NIP tidak ditemukan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 t="e">
        <f t="shared" ref="AC2:AC27" si="0">AG2*1%</f>
        <v>#VALUE!</v>
      </c>
      <c r="AD2" s="261"/>
      <c r="AE2" s="274">
        <v>0</v>
      </c>
      <c r="AF2" s="274">
        <v>0</v>
      </c>
      <c r="AG2" s="262" t="e">
        <f>Q2+R2</f>
        <v>#VALUE!</v>
      </c>
      <c r="AH2" s="275" t="e">
        <f t="shared" ref="AH2:AH27" si="1">W2+AD2+AC2</f>
        <v>#VALUE!</v>
      </c>
      <c r="AI2" s="276" t="e">
        <f t="shared" ref="AI2:AI27" si="2">AG2-AH2</f>
        <v>#VALUE!</v>
      </c>
      <c r="AJ2" s="249"/>
    </row>
    <row r="3" spans="1:36" ht="14.5" x14ac:dyDescent="0.35">
      <c r="A3" s="265" t="str">
        <f>bpjs!C10</f>
        <v>NIP tidak ditemukan</v>
      </c>
      <c r="B3" s="266" t="str">
        <f>bank!C9</f>
        <v>ALIANGGA KUSUMA</v>
      </c>
      <c r="C3" s="267" t="str">
        <f>bpjs!D10</f>
        <v>NIP tidak ditemukan</v>
      </c>
      <c r="D3" s="268" t="str">
        <f>IFERROR(INDEX(rekap_tpp[], MATCH(A3, INDEX(rekap_tpp[], 0, 8), 0), 10), "NIP tidak ditemukan")</f>
        <v>NIP tidak ditemukan</v>
      </c>
      <c r="E3" s="269" t="str">
        <f>IFERROR(INDEX(rekap_tpp[], MATCH(A3, INDEX(rekap_tpp[], 0, 8), 0), 9), "NIP tidak ditemukan")</f>
        <v>NIP tidak ditemukan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NIP tidak ditemukan</v>
      </c>
      <c r="K3" s="271"/>
      <c r="L3" s="270"/>
      <c r="M3" s="271" t="s">
        <v>143</v>
      </c>
      <c r="N3" s="270">
        <v>120</v>
      </c>
      <c r="O3" s="270" t="s">
        <v>144</v>
      </c>
      <c r="P3" s="272" t="str">
        <f>IFERROR(INDEX(rekap_tpp[], MATCH(A3, INDEX(rekap_tpp[], 0, 8), 0), 11), "NIP tidak ditemukan")</f>
        <v>NIP tidak ditemukan</v>
      </c>
      <c r="Q3" s="273" t="str">
        <f>'rekap nominatif etukin'!C6</f>
        <v>NIP tidak ditemukan</v>
      </c>
      <c r="R3" s="273" t="str">
        <f>'rekap nominatif etukin'!D6</f>
        <v>NIP tidak ditemukan</v>
      </c>
      <c r="S3" s="273" t="str">
        <f>'rekap nominatif etukin'!E6</f>
        <v>NIP tidak ditemukan</v>
      </c>
      <c r="T3" s="273" t="str">
        <f>'rekap nominatif etukin'!F6</f>
        <v>NIP tidak ditemukan</v>
      </c>
      <c r="U3" s="273" t="str">
        <f>'rekap nominatif etukin'!G6</f>
        <v>NIP tidak ditemukan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 t="e">
        <f t="shared" si="0"/>
        <v>#VALUE!</v>
      </c>
      <c r="AD3" s="261"/>
      <c r="AE3" s="274">
        <v>0</v>
      </c>
      <c r="AF3" s="274">
        <v>0</v>
      </c>
      <c r="AG3" s="262" t="e">
        <f t="shared" ref="AG3:AG29" si="3">Q3+R3</f>
        <v>#VALUE!</v>
      </c>
      <c r="AH3" s="275" t="e">
        <f t="shared" si="1"/>
        <v>#VALUE!</v>
      </c>
      <c r="AI3" s="276" t="e">
        <f t="shared" si="2"/>
        <v>#VALUE!</v>
      </c>
      <c r="AJ3" s="249"/>
    </row>
    <row r="4" spans="1:36" ht="14.5" x14ac:dyDescent="0.35">
      <c r="A4" s="265" t="str">
        <f>bpjs!C11</f>
        <v>NIP tidak ditemukan</v>
      </c>
      <c r="B4" s="266" t="str">
        <f>bank!C10</f>
        <v>DEBY SILVIA</v>
      </c>
      <c r="C4" s="267" t="str">
        <f>bpjs!D11</f>
        <v>NIP tidak ditemukan</v>
      </c>
      <c r="D4" s="268" t="str">
        <f>IFERROR(INDEX(rekap_tpp[], MATCH(A4, INDEX(rekap_tpp[], 0, 8), 0), 10), "NIP tidak ditemukan")</f>
        <v>NIP tidak ditemukan</v>
      </c>
      <c r="E4" s="269" t="str">
        <f>IFERROR(INDEX(rekap_tpp[], MATCH(A4, INDEX(rekap_tpp[], 0, 8), 0), 9), "NIP tidak ditemukan")</f>
        <v>NIP tidak ditemukan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NIP tidak ditemukan</v>
      </c>
      <c r="K4" s="271"/>
      <c r="L4" s="270"/>
      <c r="M4" s="271" t="s">
        <v>143</v>
      </c>
      <c r="N4" s="270">
        <v>120</v>
      </c>
      <c r="O4" s="270" t="s">
        <v>144</v>
      </c>
      <c r="P4" s="272" t="str">
        <f>IFERROR(INDEX(rekap_tpp[], MATCH(A4, INDEX(rekap_tpp[], 0, 8), 0), 11), "NIP tidak ditemukan")</f>
        <v>NIP tidak ditemukan</v>
      </c>
      <c r="Q4" s="273" t="str">
        <f>'rekap nominatif etukin'!C7</f>
        <v>NIP tidak ditemukan</v>
      </c>
      <c r="R4" s="273" t="str">
        <f>'rekap nominatif etukin'!D7</f>
        <v>NIP tidak ditemukan</v>
      </c>
      <c r="S4" s="273" t="str">
        <f>'rekap nominatif etukin'!E7</f>
        <v>NIP tidak ditemukan</v>
      </c>
      <c r="T4" s="273" t="str">
        <f>'rekap nominatif etukin'!F7</f>
        <v>NIP tidak ditemukan</v>
      </c>
      <c r="U4" s="273" t="str">
        <f>'rekap nominatif etukin'!G7</f>
        <v>NIP tidak ditemukan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 t="e">
        <f t="shared" si="0"/>
        <v>#VALUE!</v>
      </c>
      <c r="AD4" s="261"/>
      <c r="AE4" s="274">
        <v>0</v>
      </c>
      <c r="AF4" s="274">
        <v>0</v>
      </c>
      <c r="AG4" s="262" t="e">
        <f t="shared" si="3"/>
        <v>#VALUE!</v>
      </c>
      <c r="AH4" s="275" t="e">
        <f t="shared" si="1"/>
        <v>#VALUE!</v>
      </c>
      <c r="AI4" s="276" t="e">
        <f t="shared" si="2"/>
        <v>#VALUE!</v>
      </c>
      <c r="AJ4" s="249"/>
    </row>
    <row r="5" spans="1:36" ht="14.5" x14ac:dyDescent="0.35">
      <c r="A5" s="265" t="str">
        <f>bpjs!C12</f>
        <v>NIP tidak ditemukan</v>
      </c>
      <c r="B5" s="266" t="str">
        <f>bank!C11</f>
        <v>ERIS PRIYANA</v>
      </c>
      <c r="C5" s="267" t="str">
        <f>bpjs!D12</f>
        <v>NIP tidak ditemukan</v>
      </c>
      <c r="D5" s="268" t="str">
        <f>IFERROR(INDEX(rekap_tpp[], MATCH(A5, INDEX(rekap_tpp[], 0, 8), 0), 10), "NIP tidak ditemukan")</f>
        <v>NIP tidak ditemukan</v>
      </c>
      <c r="E5" s="269" t="str">
        <f>IFERROR(INDEX(rekap_tpp[], MATCH(A5, INDEX(rekap_tpp[], 0, 8), 0), 9), "NIP tidak ditemukan")</f>
        <v>NIP tidak ditemukan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NIP tidak ditemukan</v>
      </c>
      <c r="K5" s="271"/>
      <c r="L5" s="270"/>
      <c r="M5" s="271" t="s">
        <v>143</v>
      </c>
      <c r="N5" s="270">
        <v>120</v>
      </c>
      <c r="O5" s="270" t="s">
        <v>144</v>
      </c>
      <c r="P5" s="272" t="str">
        <f>IFERROR(INDEX(rekap_tpp[], MATCH(A5, INDEX(rekap_tpp[], 0, 8), 0), 11), "NIP tidak ditemukan")</f>
        <v>NIP tidak ditemukan</v>
      </c>
      <c r="Q5" s="273" t="str">
        <f>'rekap nominatif etukin'!C8</f>
        <v>NIP tidak ditemukan</v>
      </c>
      <c r="R5" s="273" t="str">
        <f>'rekap nominatif etukin'!D8</f>
        <v>NIP tidak ditemukan</v>
      </c>
      <c r="S5" s="273" t="str">
        <f>'rekap nominatif etukin'!E8</f>
        <v>NIP tidak ditemukan</v>
      </c>
      <c r="T5" s="273" t="str">
        <f>'rekap nominatif etukin'!F8</f>
        <v>NIP tidak ditemukan</v>
      </c>
      <c r="U5" s="273" t="str">
        <f>'rekap nominatif etukin'!G8</f>
        <v>NIP tidak ditemukan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 t="e">
        <f t="shared" si="0"/>
        <v>#VALUE!</v>
      </c>
      <c r="AD5" s="261"/>
      <c r="AE5" s="274">
        <v>0</v>
      </c>
      <c r="AF5" s="274">
        <v>0</v>
      </c>
      <c r="AG5" s="262" t="e">
        <f t="shared" si="3"/>
        <v>#VALUE!</v>
      </c>
      <c r="AH5" s="275" t="e">
        <f t="shared" si="1"/>
        <v>#VALUE!</v>
      </c>
      <c r="AI5" s="276" t="e">
        <f t="shared" si="2"/>
        <v>#VALUE!</v>
      </c>
      <c r="AJ5" s="249"/>
    </row>
    <row r="6" spans="1:36" ht="14.5" x14ac:dyDescent="0.35">
      <c r="A6" s="265" t="str">
        <f>bpjs!C13</f>
        <v>NIP tidak ditemukan</v>
      </c>
      <c r="B6" s="266" t="str">
        <f>bank!C12</f>
        <v>ERNAWATI</v>
      </c>
      <c r="C6" s="267" t="str">
        <f>bpjs!D13</f>
        <v>NIP tidak ditemukan</v>
      </c>
      <c r="D6" s="268" t="str">
        <f>IFERROR(INDEX(rekap_tpp[], MATCH(A6, INDEX(rekap_tpp[], 0, 8), 0), 10), "NIP tidak ditemukan")</f>
        <v>NIP tidak ditemukan</v>
      </c>
      <c r="E6" s="269" t="str">
        <f>IFERROR(INDEX(rekap_tpp[], MATCH(A6, INDEX(rekap_tpp[], 0, 8), 0), 9), "NIP tidak ditemukan")</f>
        <v>NIP tidak ditemukan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NIP tidak ditemukan</v>
      </c>
      <c r="K6" s="271"/>
      <c r="L6" s="270"/>
      <c r="M6" s="271" t="s">
        <v>143</v>
      </c>
      <c r="N6" s="270">
        <v>120</v>
      </c>
      <c r="O6" s="270" t="s">
        <v>144</v>
      </c>
      <c r="P6" s="272" t="str">
        <f>IFERROR(INDEX(rekap_tpp[], MATCH(A6, INDEX(rekap_tpp[], 0, 8), 0), 11), "NIP tidak ditemukan")</f>
        <v>NIP tidak ditemukan</v>
      </c>
      <c r="Q6" s="273" t="str">
        <f>'rekap nominatif etukin'!C9</f>
        <v>NIP tidak ditemukan</v>
      </c>
      <c r="R6" s="273" t="str">
        <f>'rekap nominatif etukin'!D9</f>
        <v>NIP tidak ditemukan</v>
      </c>
      <c r="S6" s="273" t="str">
        <f>'rekap nominatif etukin'!E9</f>
        <v>NIP tidak ditemukan</v>
      </c>
      <c r="T6" s="273" t="str">
        <f>'rekap nominatif etukin'!F9</f>
        <v>NIP tidak ditemukan</v>
      </c>
      <c r="U6" s="273" t="str">
        <f>'rekap nominatif etukin'!G9</f>
        <v>NIP tidak ditemukan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 t="e">
        <f t="shared" si="0"/>
        <v>#VALUE!</v>
      </c>
      <c r="AD6" s="261"/>
      <c r="AE6" s="274">
        <v>0</v>
      </c>
      <c r="AF6" s="274">
        <v>0</v>
      </c>
      <c r="AG6" s="262" t="e">
        <f t="shared" si="3"/>
        <v>#VALUE!</v>
      </c>
      <c r="AH6" s="275" t="e">
        <f t="shared" si="1"/>
        <v>#VALUE!</v>
      </c>
      <c r="AI6" s="276" t="e">
        <f t="shared" si="2"/>
        <v>#VALUE!</v>
      </c>
    </row>
    <row r="7" spans="1:36" ht="14.5" x14ac:dyDescent="0.35">
      <c r="A7" s="265" t="str">
        <f>bpjs!C14</f>
        <v>NIP tidak ditemukan</v>
      </c>
      <c r="B7" s="266" t="str">
        <f>bank!C13</f>
        <v>FANSURI SEPTIAWAN</v>
      </c>
      <c r="C7" s="267" t="str">
        <f>bpjs!D14</f>
        <v>NIP tidak ditemukan</v>
      </c>
      <c r="D7" s="268" t="str">
        <f>IFERROR(INDEX(rekap_tpp[], MATCH(A7, INDEX(rekap_tpp[], 0, 8), 0), 10), "NIP tidak ditemukan")</f>
        <v>NIP tidak ditemukan</v>
      </c>
      <c r="E7" s="269" t="str">
        <f>IFERROR(INDEX(rekap_tpp[], MATCH(A7, INDEX(rekap_tpp[], 0, 8), 0), 9), "NIP tidak ditemukan")</f>
        <v>NIP tidak ditemukan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NIP tidak ditemukan</v>
      </c>
      <c r="K7" s="271"/>
      <c r="L7" s="270"/>
      <c r="M7" s="271" t="s">
        <v>143</v>
      </c>
      <c r="N7" s="270">
        <v>120</v>
      </c>
      <c r="O7" s="270" t="s">
        <v>144</v>
      </c>
      <c r="P7" s="272" t="str">
        <f>IFERROR(INDEX(rekap_tpp[], MATCH(A7, INDEX(rekap_tpp[], 0, 8), 0), 11), "NIP tidak ditemukan")</f>
        <v>NIP tidak ditemukan</v>
      </c>
      <c r="Q7" s="273" t="str">
        <f>'rekap nominatif etukin'!C10</f>
        <v>NIP tidak ditemukan</v>
      </c>
      <c r="R7" s="273" t="str">
        <f>'rekap nominatif etukin'!D10</f>
        <v>NIP tidak ditemukan</v>
      </c>
      <c r="S7" s="273" t="str">
        <f>'rekap nominatif etukin'!E10</f>
        <v>NIP tidak ditemukan</v>
      </c>
      <c r="T7" s="273" t="str">
        <f>'rekap nominatif etukin'!F10</f>
        <v>NIP tidak ditemukan</v>
      </c>
      <c r="U7" s="273" t="str">
        <f>'rekap nominatif etukin'!G10</f>
        <v>NIP tidak ditemukan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 t="e">
        <f t="shared" si="0"/>
        <v>#VALUE!</v>
      </c>
      <c r="AD7" s="261"/>
      <c r="AE7" s="274">
        <v>0</v>
      </c>
      <c r="AF7" s="274">
        <v>0</v>
      </c>
      <c r="AG7" s="262" t="e">
        <f t="shared" si="3"/>
        <v>#VALUE!</v>
      </c>
      <c r="AH7" s="275" t="e">
        <f t="shared" si="1"/>
        <v>#VALUE!</v>
      </c>
      <c r="AI7" s="276" t="e">
        <f t="shared" si="2"/>
        <v>#VALUE!</v>
      </c>
    </row>
    <row r="8" spans="1:36" ht="14.5" x14ac:dyDescent="0.35">
      <c r="A8" s="265" t="str">
        <f>bpjs!C15</f>
        <v>NIP tidak ditemukan</v>
      </c>
      <c r="B8" s="266" t="str">
        <f>bank!C14</f>
        <v>FENDI BOY PARNINGOTANSITOMPUL</v>
      </c>
      <c r="C8" s="267" t="str">
        <f>bpjs!D15</f>
        <v>NIP tidak ditemukan</v>
      </c>
      <c r="D8" s="268" t="str">
        <f>IFERROR(INDEX(rekap_tpp[], MATCH(A8, INDEX(rekap_tpp[], 0, 8), 0), 10), "NIP tidak ditemukan")</f>
        <v>NIP tidak ditemukan</v>
      </c>
      <c r="E8" s="269" t="str">
        <f>IFERROR(INDEX(rekap_tpp[], MATCH(A8, INDEX(rekap_tpp[], 0, 8), 0), 9), "NIP tidak ditemukan")</f>
        <v>NIP tidak ditemukan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NIP tidak ditemukan</v>
      </c>
      <c r="K8" s="271"/>
      <c r="L8" s="270"/>
      <c r="M8" s="271" t="s">
        <v>143</v>
      </c>
      <c r="N8" s="270">
        <v>120</v>
      </c>
      <c r="O8" s="270" t="s">
        <v>144</v>
      </c>
      <c r="P8" s="272" t="str">
        <f>IFERROR(INDEX(rekap_tpp[], MATCH(A8, INDEX(rekap_tpp[], 0, 8), 0), 11), "NIP tidak ditemukan")</f>
        <v>NIP tidak ditemukan</v>
      </c>
      <c r="Q8" s="273" t="str">
        <f>'rekap nominatif etukin'!C11</f>
        <v>NIP tidak ditemukan</v>
      </c>
      <c r="R8" s="273" t="str">
        <f>'rekap nominatif etukin'!D11</f>
        <v>NIP tidak ditemukan</v>
      </c>
      <c r="S8" s="273" t="str">
        <f>'rekap nominatif etukin'!E11</f>
        <v>NIP tidak ditemukan</v>
      </c>
      <c r="T8" s="273" t="str">
        <f>'rekap nominatif etukin'!F11</f>
        <v>NIP tidak ditemukan</v>
      </c>
      <c r="U8" s="273" t="str">
        <f>'rekap nominatif etukin'!G11</f>
        <v>NIP tidak ditemukan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 t="e">
        <f t="shared" si="0"/>
        <v>#VALUE!</v>
      </c>
      <c r="AD8" s="261"/>
      <c r="AE8" s="274">
        <v>0</v>
      </c>
      <c r="AF8" s="274">
        <v>0</v>
      </c>
      <c r="AG8" s="262" t="e">
        <f t="shared" si="3"/>
        <v>#VALUE!</v>
      </c>
      <c r="AH8" s="275" t="e">
        <f t="shared" si="1"/>
        <v>#VALUE!</v>
      </c>
      <c r="AI8" s="276" t="e">
        <f t="shared" si="2"/>
        <v>#VALUE!</v>
      </c>
    </row>
    <row r="9" spans="1:36" ht="14.5" x14ac:dyDescent="0.35">
      <c r="A9" s="265" t="str">
        <f>bpjs!C16</f>
        <v>NIP tidak ditemukan</v>
      </c>
      <c r="B9" s="266" t="str">
        <f>bank!C15</f>
        <v>FITRIA NILAM SYARI</v>
      </c>
      <c r="C9" s="267" t="str">
        <f>bpjs!D16</f>
        <v>NIP tidak ditemukan</v>
      </c>
      <c r="D9" s="268" t="str">
        <f>IFERROR(INDEX(rekap_tpp[], MATCH(A9, INDEX(rekap_tpp[], 0, 8), 0), 10), "NIP tidak ditemukan")</f>
        <v>NIP tidak ditemukan</v>
      </c>
      <c r="E9" s="269" t="str">
        <f>IFERROR(INDEX(rekap_tpp[], MATCH(A9, INDEX(rekap_tpp[], 0, 8), 0), 9), "NIP tidak ditemukan")</f>
        <v>NIP tidak ditemukan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NIP tidak ditemukan</v>
      </c>
      <c r="K9" s="271"/>
      <c r="L9" s="270"/>
      <c r="M9" s="271" t="s">
        <v>143</v>
      </c>
      <c r="N9" s="270">
        <v>120</v>
      </c>
      <c r="O9" s="270" t="s">
        <v>144</v>
      </c>
      <c r="P9" s="272" t="str">
        <f>IFERROR(INDEX(rekap_tpp[], MATCH(A9, INDEX(rekap_tpp[], 0, 8), 0), 11), "NIP tidak ditemukan")</f>
        <v>NIP tidak ditemukan</v>
      </c>
      <c r="Q9" s="273" t="str">
        <f>'rekap nominatif etukin'!C12</f>
        <v>NIP tidak ditemukan</v>
      </c>
      <c r="R9" s="273" t="str">
        <f>'rekap nominatif etukin'!D12</f>
        <v>NIP tidak ditemukan</v>
      </c>
      <c r="S9" s="273" t="str">
        <f>'rekap nominatif etukin'!E12</f>
        <v>NIP tidak ditemukan</v>
      </c>
      <c r="T9" s="273" t="str">
        <f>'rekap nominatif etukin'!F12</f>
        <v>NIP tidak ditemukan</v>
      </c>
      <c r="U9" s="273" t="str">
        <f>'rekap nominatif etukin'!G12</f>
        <v>NIP tidak ditemukan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 t="e">
        <f t="shared" si="0"/>
        <v>#VALUE!</v>
      </c>
      <c r="AD9" s="261"/>
      <c r="AE9" s="274">
        <v>0</v>
      </c>
      <c r="AF9" s="274">
        <v>0</v>
      </c>
      <c r="AG9" s="262" t="e">
        <f t="shared" si="3"/>
        <v>#VALUE!</v>
      </c>
      <c r="AH9" s="275" t="e">
        <f t="shared" si="1"/>
        <v>#VALUE!</v>
      </c>
      <c r="AI9" s="276" t="e">
        <f t="shared" si="2"/>
        <v>#VALUE!</v>
      </c>
    </row>
    <row r="10" spans="1:36" ht="14.5" x14ac:dyDescent="0.35">
      <c r="A10" s="265" t="str">
        <f>bpjs!C17</f>
        <v>NIP tidak ditemukan</v>
      </c>
      <c r="B10" s="266" t="str">
        <f>bank!C16</f>
        <v>HADI PURWANTO</v>
      </c>
      <c r="C10" s="267" t="str">
        <f>bpjs!D17</f>
        <v>NIP tidak ditemukan</v>
      </c>
      <c r="D10" s="268" t="str">
        <f>IFERROR(INDEX(rekap_tpp[], MATCH(A10, INDEX(rekap_tpp[], 0, 8), 0), 10), "NIP tidak ditemukan")</f>
        <v>NIP tidak ditemukan</v>
      </c>
      <c r="E10" s="269" t="str">
        <f>IFERROR(INDEX(rekap_tpp[], MATCH(A10, INDEX(rekap_tpp[], 0, 8), 0), 9), "NIP tidak ditemukan")</f>
        <v>NIP tidak ditemukan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NIP tidak ditemukan</v>
      </c>
      <c r="K10" s="271"/>
      <c r="L10" s="270"/>
      <c r="M10" s="271" t="s">
        <v>143</v>
      </c>
      <c r="N10" s="270">
        <v>120</v>
      </c>
      <c r="O10" s="270" t="s">
        <v>144</v>
      </c>
      <c r="P10" s="272" t="str">
        <f>IFERROR(INDEX(rekap_tpp[], MATCH(A10, INDEX(rekap_tpp[], 0, 8), 0), 11), "NIP tidak ditemukan")</f>
        <v>NIP tidak ditemukan</v>
      </c>
      <c r="Q10" s="273" t="str">
        <f>'rekap nominatif etukin'!C13</f>
        <v>NIP tidak ditemukan</v>
      </c>
      <c r="R10" s="273" t="str">
        <f>'rekap nominatif etukin'!D13</f>
        <v>NIP tidak ditemukan</v>
      </c>
      <c r="S10" s="273" t="str">
        <f>'rekap nominatif etukin'!E13</f>
        <v>NIP tidak ditemukan</v>
      </c>
      <c r="T10" s="273" t="str">
        <f>'rekap nominatif etukin'!F13</f>
        <v>NIP tidak ditemukan</v>
      </c>
      <c r="U10" s="273" t="str">
        <f>'rekap nominatif etukin'!G13</f>
        <v>NIP tidak ditemukan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 t="e">
        <f t="shared" si="0"/>
        <v>#VALUE!</v>
      </c>
      <c r="AD10" s="261"/>
      <c r="AE10" s="274">
        <v>0</v>
      </c>
      <c r="AF10" s="274">
        <v>0</v>
      </c>
      <c r="AG10" s="262" t="e">
        <f t="shared" si="3"/>
        <v>#VALUE!</v>
      </c>
      <c r="AH10" s="275" t="e">
        <f t="shared" si="1"/>
        <v>#VALUE!</v>
      </c>
      <c r="AI10" s="276" t="e">
        <f t="shared" si="2"/>
        <v>#VALUE!</v>
      </c>
    </row>
    <row r="11" spans="1:36" ht="14.5" x14ac:dyDescent="0.35">
      <c r="A11" s="265" t="str">
        <f>bpjs!C18</f>
        <v>NIP tidak ditemukan</v>
      </c>
      <c r="B11" s="266" t="str">
        <f>bank!C17</f>
        <v>HENDRI</v>
      </c>
      <c r="C11" s="267" t="str">
        <f>bpjs!D18</f>
        <v>NIP tidak ditemukan</v>
      </c>
      <c r="D11" s="268" t="str">
        <f>IFERROR(INDEX(rekap_tpp[], MATCH(A11, INDEX(rekap_tpp[], 0, 8), 0), 10), "NIP tidak ditemukan")</f>
        <v>NIP tidak ditemukan</v>
      </c>
      <c r="E11" s="269" t="str">
        <f>IFERROR(INDEX(rekap_tpp[], MATCH(A11, INDEX(rekap_tpp[], 0, 8), 0), 9), "NIP tidak ditemukan")</f>
        <v>NIP tidak ditemukan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NIP tidak ditemukan</v>
      </c>
      <c r="K11" s="271"/>
      <c r="L11" s="270"/>
      <c r="M11" s="271" t="s">
        <v>143</v>
      </c>
      <c r="N11" s="270">
        <v>120</v>
      </c>
      <c r="O11" s="270" t="s">
        <v>144</v>
      </c>
      <c r="P11" s="272" t="str">
        <f>IFERROR(INDEX(rekap_tpp[], MATCH(A11, INDEX(rekap_tpp[], 0, 8), 0), 11), "NIP tidak ditemukan")</f>
        <v>NIP tidak ditemukan</v>
      </c>
      <c r="Q11" s="273" t="str">
        <f>'rekap nominatif etukin'!C14</f>
        <v>NIP tidak ditemukan</v>
      </c>
      <c r="R11" s="273" t="str">
        <f>'rekap nominatif etukin'!D14</f>
        <v>NIP tidak ditemukan</v>
      </c>
      <c r="S11" s="273" t="str">
        <f>'rekap nominatif etukin'!E14</f>
        <v>NIP tidak ditemukan</v>
      </c>
      <c r="T11" s="273" t="str">
        <f>'rekap nominatif etukin'!F14</f>
        <v>NIP tidak ditemukan</v>
      </c>
      <c r="U11" s="273" t="str">
        <f>'rekap nominatif etukin'!G14</f>
        <v>NIP tidak ditemukan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 t="e">
        <f t="shared" si="0"/>
        <v>#VALUE!</v>
      </c>
      <c r="AD11" s="261"/>
      <c r="AE11" s="274">
        <v>0</v>
      </c>
      <c r="AF11" s="274">
        <v>0</v>
      </c>
      <c r="AG11" s="262" t="e">
        <f t="shared" si="3"/>
        <v>#VALUE!</v>
      </c>
      <c r="AH11" s="275" t="e">
        <f t="shared" si="1"/>
        <v>#VALUE!</v>
      </c>
      <c r="AI11" s="276" t="e">
        <f t="shared" si="2"/>
        <v>#VALUE!</v>
      </c>
    </row>
    <row r="12" spans="1:36" ht="14.5" x14ac:dyDescent="0.35">
      <c r="A12" s="265" t="str">
        <f>bpjs!C19</f>
        <v>NIP tidak ditemukan</v>
      </c>
      <c r="B12" s="266" t="str">
        <f>bank!C18</f>
        <v>IFHAN FUADI</v>
      </c>
      <c r="C12" s="267" t="str">
        <f>bpjs!D19</f>
        <v>NIP tidak ditemukan</v>
      </c>
      <c r="D12" s="268" t="str">
        <f>IFERROR(INDEX(rekap_tpp[], MATCH(A12, INDEX(rekap_tpp[], 0, 8), 0), 10), "NIP tidak ditemukan")</f>
        <v>NIP tidak ditemukan</v>
      </c>
      <c r="E12" s="269" t="str">
        <f>IFERROR(INDEX(rekap_tpp[], MATCH(A12, INDEX(rekap_tpp[], 0, 8), 0), 9), "NIP tidak ditemukan")</f>
        <v>NIP tidak ditemukan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NIP tidak ditemukan</v>
      </c>
      <c r="K12" s="271"/>
      <c r="L12" s="270"/>
      <c r="M12" s="271" t="s">
        <v>143</v>
      </c>
      <c r="N12" s="270">
        <v>120</v>
      </c>
      <c r="O12" s="270" t="s">
        <v>144</v>
      </c>
      <c r="P12" s="272" t="str">
        <f>IFERROR(INDEX(rekap_tpp[], MATCH(A12, INDEX(rekap_tpp[], 0, 8), 0), 11), "NIP tidak ditemukan")</f>
        <v>NIP tidak ditemukan</v>
      </c>
      <c r="Q12" s="273" t="str">
        <f>'rekap nominatif etukin'!C15</f>
        <v>NIP tidak ditemukan</v>
      </c>
      <c r="R12" s="273" t="str">
        <f>'rekap nominatif etukin'!D15</f>
        <v>NIP tidak ditemukan</v>
      </c>
      <c r="S12" s="273" t="str">
        <f>'rekap nominatif etukin'!E15</f>
        <v>NIP tidak ditemukan</v>
      </c>
      <c r="T12" s="273" t="str">
        <f>'rekap nominatif etukin'!F15</f>
        <v>NIP tidak ditemukan</v>
      </c>
      <c r="U12" s="273" t="str">
        <f>'rekap nominatif etukin'!G15</f>
        <v>NIP tidak ditemukan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 t="e">
        <f t="shared" si="0"/>
        <v>#VALUE!</v>
      </c>
      <c r="AD12" s="261"/>
      <c r="AE12" s="274">
        <v>0</v>
      </c>
      <c r="AF12" s="274">
        <v>0</v>
      </c>
      <c r="AG12" s="262" t="e">
        <f t="shared" si="3"/>
        <v>#VALUE!</v>
      </c>
      <c r="AH12" s="275" t="e">
        <f t="shared" si="1"/>
        <v>#VALUE!</v>
      </c>
      <c r="AI12" s="276" t="e">
        <f t="shared" si="2"/>
        <v>#VALUE!</v>
      </c>
    </row>
    <row r="13" spans="1:36" ht="14.5" x14ac:dyDescent="0.35">
      <c r="A13" s="265" t="str">
        <f>bpjs!C20</f>
        <v>NIP tidak ditemukan</v>
      </c>
      <c r="B13" s="266" t="str">
        <f>bank!C19</f>
        <v>INNAMA FAJARWATI</v>
      </c>
      <c r="C13" s="267" t="str">
        <f>bpjs!D20</f>
        <v>NIP tidak ditemukan</v>
      </c>
      <c r="D13" s="268" t="str">
        <f>IFERROR(INDEX(rekap_tpp[], MATCH(A13, INDEX(rekap_tpp[], 0, 8), 0), 10), "NIP tidak ditemukan")</f>
        <v>NIP tidak ditemukan</v>
      </c>
      <c r="E13" s="269" t="str">
        <f>IFERROR(INDEX(rekap_tpp[], MATCH(A13, INDEX(rekap_tpp[], 0, 8), 0), 9), "NIP tidak ditemukan")</f>
        <v>NIP tidak ditemukan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NIP tidak ditemukan</v>
      </c>
      <c r="K13" s="271"/>
      <c r="L13" s="270"/>
      <c r="M13" s="271" t="s">
        <v>143</v>
      </c>
      <c r="N13" s="270">
        <v>120</v>
      </c>
      <c r="O13" s="270" t="s">
        <v>144</v>
      </c>
      <c r="P13" s="272" t="str">
        <f>IFERROR(INDEX(rekap_tpp[], MATCH(A13, INDEX(rekap_tpp[], 0, 8), 0), 11), "NIP tidak ditemukan")</f>
        <v>NIP tidak ditemukan</v>
      </c>
      <c r="Q13" s="273" t="str">
        <f>'rekap nominatif etukin'!C16</f>
        <v>NIP tidak ditemukan</v>
      </c>
      <c r="R13" s="273" t="str">
        <f>'rekap nominatif etukin'!D16</f>
        <v>NIP tidak ditemukan</v>
      </c>
      <c r="S13" s="273" t="str">
        <f>'rekap nominatif etukin'!E16</f>
        <v>NIP tidak ditemukan</v>
      </c>
      <c r="T13" s="273" t="str">
        <f>'rekap nominatif etukin'!F16</f>
        <v>NIP tidak ditemukan</v>
      </c>
      <c r="U13" s="273" t="str">
        <f>'rekap nominatif etukin'!G16</f>
        <v>NIP tidak ditemukan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 t="e">
        <f t="shared" si="0"/>
        <v>#VALUE!</v>
      </c>
      <c r="AD13" s="261"/>
      <c r="AE13" s="274">
        <v>0</v>
      </c>
      <c r="AF13" s="274">
        <v>0</v>
      </c>
      <c r="AG13" s="262" t="e">
        <f t="shared" si="3"/>
        <v>#VALUE!</v>
      </c>
      <c r="AH13" s="275" t="e">
        <f t="shared" si="1"/>
        <v>#VALUE!</v>
      </c>
      <c r="AI13" s="276" t="e">
        <f t="shared" si="2"/>
        <v>#VALUE!</v>
      </c>
    </row>
    <row r="14" spans="1:36" ht="14.5" x14ac:dyDescent="0.35">
      <c r="A14" s="265" t="str">
        <f>bpjs!C21</f>
        <v>NIP tidak ditemukan</v>
      </c>
      <c r="B14" s="266" t="str">
        <f>bank!C20</f>
        <v>JUMIATI</v>
      </c>
      <c r="C14" s="267" t="str">
        <f>bpjs!D21</f>
        <v>NIP tidak ditemukan</v>
      </c>
      <c r="D14" s="268" t="str">
        <f>IFERROR(INDEX(rekap_tpp[], MATCH(A14, INDEX(rekap_tpp[], 0, 8), 0), 10), "NIP tidak ditemukan")</f>
        <v>NIP tidak ditemukan</v>
      </c>
      <c r="E14" s="269" t="str">
        <f>IFERROR(INDEX(rekap_tpp[], MATCH(A14, INDEX(rekap_tpp[], 0, 8), 0), 9), "NIP tidak ditemukan")</f>
        <v>NIP tidak ditemukan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NIP tidak ditemukan</v>
      </c>
      <c r="K14" s="271"/>
      <c r="L14" s="270"/>
      <c r="M14" s="271" t="s">
        <v>143</v>
      </c>
      <c r="N14" s="270">
        <v>120</v>
      </c>
      <c r="O14" s="270" t="s">
        <v>144</v>
      </c>
      <c r="P14" s="272" t="str">
        <f>IFERROR(INDEX(rekap_tpp[], MATCH(A14, INDEX(rekap_tpp[], 0, 8), 0), 11), "NIP tidak ditemukan")</f>
        <v>NIP tidak ditemukan</v>
      </c>
      <c r="Q14" s="273" t="str">
        <f>'rekap nominatif etukin'!C17</f>
        <v>NIP tidak ditemukan</v>
      </c>
      <c r="R14" s="273" t="str">
        <f>'rekap nominatif etukin'!D17</f>
        <v>NIP tidak ditemukan</v>
      </c>
      <c r="S14" s="273" t="str">
        <f>'rekap nominatif etukin'!E17</f>
        <v>NIP tidak ditemukan</v>
      </c>
      <c r="T14" s="273" t="str">
        <f>'rekap nominatif etukin'!F17</f>
        <v>NIP tidak ditemukan</v>
      </c>
      <c r="U14" s="273" t="str">
        <f>'rekap nominatif etukin'!G17</f>
        <v>NIP tidak ditemukan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 t="e">
        <f t="shared" si="0"/>
        <v>#VALUE!</v>
      </c>
      <c r="AD14" s="261"/>
      <c r="AE14" s="274">
        <v>0</v>
      </c>
      <c r="AF14" s="274">
        <v>0</v>
      </c>
      <c r="AG14" s="262" t="e">
        <f t="shared" si="3"/>
        <v>#VALUE!</v>
      </c>
      <c r="AH14" s="275" t="e">
        <f t="shared" si="1"/>
        <v>#VALUE!</v>
      </c>
      <c r="AI14" s="276" t="e">
        <f t="shared" si="2"/>
        <v>#VALUE!</v>
      </c>
    </row>
    <row r="15" spans="1:36" ht="14.5" x14ac:dyDescent="0.35">
      <c r="A15" s="265" t="str">
        <f>bpjs!C22</f>
        <v>NIP tidak ditemukan</v>
      </c>
      <c r="B15" s="266" t="str">
        <f>bank!C21</f>
        <v>KUSTIA APRILIA</v>
      </c>
      <c r="C15" s="267" t="str">
        <f>bpjs!D22</f>
        <v>NIP tidak ditemukan</v>
      </c>
      <c r="D15" s="268" t="str">
        <f>IFERROR(INDEX(rekap_tpp[], MATCH(A15, INDEX(rekap_tpp[], 0, 8), 0), 10), "NIP tidak ditemukan")</f>
        <v>NIP tidak ditemukan</v>
      </c>
      <c r="E15" s="269" t="str">
        <f>IFERROR(INDEX(rekap_tpp[], MATCH(A15, INDEX(rekap_tpp[], 0, 8), 0), 9), "NIP tidak ditemukan")</f>
        <v>NIP tidak ditemukan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NIP tidak ditemukan</v>
      </c>
      <c r="K15" s="271"/>
      <c r="L15" s="270"/>
      <c r="M15" s="271" t="s">
        <v>143</v>
      </c>
      <c r="N15" s="270">
        <v>120</v>
      </c>
      <c r="O15" s="270" t="s">
        <v>144</v>
      </c>
      <c r="P15" s="272" t="str">
        <f>IFERROR(INDEX(rekap_tpp[], MATCH(A15, INDEX(rekap_tpp[], 0, 8), 0), 11), "NIP tidak ditemukan")</f>
        <v>NIP tidak ditemukan</v>
      </c>
      <c r="Q15" s="273" t="str">
        <f>'rekap nominatif etukin'!C18</f>
        <v>NIP tidak ditemukan</v>
      </c>
      <c r="R15" s="273" t="str">
        <f>'rekap nominatif etukin'!D18</f>
        <v>NIP tidak ditemukan</v>
      </c>
      <c r="S15" s="273" t="str">
        <f>'rekap nominatif etukin'!E18</f>
        <v>NIP tidak ditemukan</v>
      </c>
      <c r="T15" s="273" t="str">
        <f>'rekap nominatif etukin'!F18</f>
        <v>NIP tidak ditemukan</v>
      </c>
      <c r="U15" s="273" t="str">
        <f>'rekap nominatif etukin'!G18</f>
        <v>NIP tidak ditemukan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 t="e">
        <f t="shared" si="0"/>
        <v>#VALUE!</v>
      </c>
      <c r="AD15" s="261"/>
      <c r="AE15" s="274">
        <v>0</v>
      </c>
      <c r="AF15" s="274">
        <v>0</v>
      </c>
      <c r="AG15" s="262" t="e">
        <f t="shared" si="3"/>
        <v>#VALUE!</v>
      </c>
      <c r="AH15" s="275" t="e">
        <f t="shared" si="1"/>
        <v>#VALUE!</v>
      </c>
      <c r="AI15" s="276" t="e">
        <f t="shared" si="2"/>
        <v>#VALUE!</v>
      </c>
    </row>
    <row r="16" spans="1:36" ht="14.5" x14ac:dyDescent="0.35">
      <c r="A16" s="265" t="str">
        <f>bpjs!C23</f>
        <v>NIP tidak ditemukan</v>
      </c>
      <c r="B16" s="266" t="str">
        <f>bank!C22</f>
        <v>LINDA SUNARYA</v>
      </c>
      <c r="C16" s="267" t="str">
        <f>bpjs!D23</f>
        <v>NIP tidak ditemukan</v>
      </c>
      <c r="D16" s="268" t="str">
        <f>IFERROR(INDEX(rekap_tpp[], MATCH(A16, INDEX(rekap_tpp[], 0, 8), 0), 10), "NIP tidak ditemukan")</f>
        <v>NIP tidak ditemukan</v>
      </c>
      <c r="E16" s="269" t="str">
        <f>IFERROR(INDEX(rekap_tpp[], MATCH(A16, INDEX(rekap_tpp[], 0, 8), 0), 9), "NIP tidak ditemukan")</f>
        <v>NIP tidak ditemukan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NIP tidak ditemukan</v>
      </c>
      <c r="K16" s="271"/>
      <c r="L16" s="270"/>
      <c r="M16" s="271" t="s">
        <v>143</v>
      </c>
      <c r="N16" s="270">
        <v>120</v>
      </c>
      <c r="O16" s="270" t="s">
        <v>144</v>
      </c>
      <c r="P16" s="272" t="str">
        <f>IFERROR(INDEX(rekap_tpp[], MATCH(A16, INDEX(rekap_tpp[], 0, 8), 0), 11), "NIP tidak ditemukan")</f>
        <v>NIP tidak ditemukan</v>
      </c>
      <c r="Q16" s="273" t="str">
        <f>'rekap nominatif etukin'!C19</f>
        <v>NIP tidak ditemukan</v>
      </c>
      <c r="R16" s="273" t="str">
        <f>'rekap nominatif etukin'!D19</f>
        <v>NIP tidak ditemukan</v>
      </c>
      <c r="S16" s="273" t="str">
        <f>'rekap nominatif etukin'!E19</f>
        <v>NIP tidak ditemukan</v>
      </c>
      <c r="T16" s="273" t="str">
        <f>'rekap nominatif etukin'!F19</f>
        <v>NIP tidak ditemukan</v>
      </c>
      <c r="U16" s="273" t="str">
        <f>'rekap nominatif etukin'!G19</f>
        <v>NIP tidak ditemukan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 t="e">
        <f t="shared" si="0"/>
        <v>#VALUE!</v>
      </c>
      <c r="AD16" s="261"/>
      <c r="AE16" s="274">
        <v>0</v>
      </c>
      <c r="AF16" s="274">
        <v>0</v>
      </c>
      <c r="AG16" s="262" t="e">
        <f t="shared" si="3"/>
        <v>#VALUE!</v>
      </c>
      <c r="AH16" s="275" t="e">
        <f t="shared" si="1"/>
        <v>#VALUE!</v>
      </c>
      <c r="AI16" s="276" t="e">
        <f t="shared" si="2"/>
        <v>#VALUE!</v>
      </c>
    </row>
    <row r="17" spans="1:35" ht="14.5" x14ac:dyDescent="0.35">
      <c r="A17" s="265" t="str">
        <f>bpjs!C24</f>
        <v>NIP tidak ditemukan</v>
      </c>
      <c r="B17" s="266" t="str">
        <f>bank!C23</f>
        <v>LISMASARI</v>
      </c>
      <c r="C17" s="267" t="str">
        <f>bpjs!D24</f>
        <v>NIP tidak ditemukan</v>
      </c>
      <c r="D17" s="268" t="str">
        <f>IFERROR(INDEX(rekap_tpp[], MATCH(A17, INDEX(rekap_tpp[], 0, 8), 0), 10), "NIP tidak ditemukan")</f>
        <v>NIP tidak ditemukan</v>
      </c>
      <c r="E17" s="269" t="str">
        <f>IFERROR(INDEX(rekap_tpp[], MATCH(A17, INDEX(rekap_tpp[], 0, 8), 0), 9), "NIP tidak ditemukan")</f>
        <v>NIP tidak ditemukan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NIP tidak ditemukan</v>
      </c>
      <c r="K17" s="271"/>
      <c r="L17" s="270"/>
      <c r="M17" s="271" t="s">
        <v>143</v>
      </c>
      <c r="N17" s="270">
        <v>120</v>
      </c>
      <c r="O17" s="270" t="s">
        <v>144</v>
      </c>
      <c r="P17" s="272" t="str">
        <f>IFERROR(INDEX(rekap_tpp[], MATCH(A17, INDEX(rekap_tpp[], 0, 8), 0), 11), "NIP tidak ditemukan")</f>
        <v>NIP tidak ditemukan</v>
      </c>
      <c r="Q17" s="273" t="str">
        <f>'rekap nominatif etukin'!C20</f>
        <v>NIP tidak ditemukan</v>
      </c>
      <c r="R17" s="273" t="str">
        <f>'rekap nominatif etukin'!D20</f>
        <v>NIP tidak ditemukan</v>
      </c>
      <c r="S17" s="273" t="str">
        <f>'rekap nominatif etukin'!E20</f>
        <v>NIP tidak ditemukan</v>
      </c>
      <c r="T17" s="273" t="str">
        <f>'rekap nominatif etukin'!F20</f>
        <v>NIP tidak ditemukan</v>
      </c>
      <c r="U17" s="273" t="str">
        <f>'rekap nominatif etukin'!G20</f>
        <v>NIP tidak ditemukan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 t="e">
        <f t="shared" si="0"/>
        <v>#VALUE!</v>
      </c>
      <c r="AD17" s="261"/>
      <c r="AE17" s="274">
        <v>0</v>
      </c>
      <c r="AF17" s="274">
        <v>0</v>
      </c>
      <c r="AG17" s="262" t="e">
        <f t="shared" si="3"/>
        <v>#VALUE!</v>
      </c>
      <c r="AH17" s="275" t="e">
        <f t="shared" si="1"/>
        <v>#VALUE!</v>
      </c>
      <c r="AI17" s="276" t="e">
        <f t="shared" si="2"/>
        <v>#VALUE!</v>
      </c>
    </row>
    <row r="18" spans="1:35" ht="14.5" x14ac:dyDescent="0.35">
      <c r="A18" s="265" t="str">
        <f>bpjs!C25</f>
        <v>NIP tidak ditemukan</v>
      </c>
      <c r="B18" s="266" t="str">
        <f>bank!C24</f>
        <v>MARHAYSON</v>
      </c>
      <c r="C18" s="267" t="str">
        <f>bpjs!D25</f>
        <v>NIP tidak ditemukan</v>
      </c>
      <c r="D18" s="268" t="str">
        <f>IFERROR(INDEX(rekap_tpp[], MATCH(A18, INDEX(rekap_tpp[], 0, 8), 0), 10), "NIP tidak ditemukan")</f>
        <v>NIP tidak ditemukan</v>
      </c>
      <c r="E18" s="269" t="str">
        <f>IFERROR(INDEX(rekap_tpp[], MATCH(A18, INDEX(rekap_tpp[], 0, 8), 0), 9), "NIP tidak ditemukan")</f>
        <v>NIP tidak ditemukan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NIP tidak ditemukan</v>
      </c>
      <c r="K18" s="271"/>
      <c r="L18" s="270"/>
      <c r="M18" s="271" t="s">
        <v>143</v>
      </c>
      <c r="N18" s="270">
        <v>120</v>
      </c>
      <c r="O18" s="270" t="s">
        <v>144</v>
      </c>
      <c r="P18" s="272" t="str">
        <f>IFERROR(INDEX(rekap_tpp[], MATCH(A18, INDEX(rekap_tpp[], 0, 8), 0), 11), "NIP tidak ditemukan")</f>
        <v>NIP tidak ditemukan</v>
      </c>
      <c r="Q18" s="273" t="str">
        <f>'rekap nominatif etukin'!C21</f>
        <v>NIP tidak ditemukan</v>
      </c>
      <c r="R18" s="273" t="str">
        <f>'rekap nominatif etukin'!D21</f>
        <v>NIP tidak ditemukan</v>
      </c>
      <c r="S18" s="273" t="str">
        <f>'rekap nominatif etukin'!E21</f>
        <v>NIP tidak ditemukan</v>
      </c>
      <c r="T18" s="273" t="str">
        <f>'rekap nominatif etukin'!F21</f>
        <v>NIP tidak ditemukan</v>
      </c>
      <c r="U18" s="273" t="str">
        <f>'rekap nominatif etukin'!G21</f>
        <v>NIP tidak ditemukan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 t="e">
        <f t="shared" si="0"/>
        <v>#VALUE!</v>
      </c>
      <c r="AD18" s="261"/>
      <c r="AE18" s="274">
        <v>0</v>
      </c>
      <c r="AF18" s="274">
        <v>0</v>
      </c>
      <c r="AG18" s="262" t="e">
        <f t="shared" si="3"/>
        <v>#VALUE!</v>
      </c>
      <c r="AH18" s="275" t="e">
        <f t="shared" si="1"/>
        <v>#VALUE!</v>
      </c>
      <c r="AI18" s="276" t="e">
        <f t="shared" si="2"/>
        <v>#VALUE!</v>
      </c>
    </row>
    <row r="19" spans="1:35" ht="14.5" x14ac:dyDescent="0.35">
      <c r="A19" s="265" t="str">
        <f>bpjs!C26</f>
        <v>NIP tidak ditemukan</v>
      </c>
      <c r="B19" s="266" t="str">
        <f>bank!C25</f>
        <v>MARLIYANTI</v>
      </c>
      <c r="C19" s="267" t="str">
        <f>bpjs!D26</f>
        <v>NIP tidak ditemukan</v>
      </c>
      <c r="D19" s="268" t="str">
        <f>IFERROR(INDEX(rekap_tpp[], MATCH(A19, INDEX(rekap_tpp[], 0, 8), 0), 10), "NIP tidak ditemukan")</f>
        <v>NIP tidak ditemukan</v>
      </c>
      <c r="E19" s="269" t="str">
        <f>IFERROR(INDEX(rekap_tpp[], MATCH(A19, INDEX(rekap_tpp[], 0, 8), 0), 9), "NIP tidak ditemukan")</f>
        <v>NIP tidak ditemukan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NIP tidak ditemukan</v>
      </c>
      <c r="K19" s="271"/>
      <c r="L19" s="270"/>
      <c r="M19" s="271" t="s">
        <v>143</v>
      </c>
      <c r="N19" s="270">
        <v>120</v>
      </c>
      <c r="O19" s="270" t="s">
        <v>144</v>
      </c>
      <c r="P19" s="272" t="str">
        <f>IFERROR(INDEX(rekap_tpp[], MATCH(A19, INDEX(rekap_tpp[], 0, 8), 0), 11), "NIP tidak ditemukan")</f>
        <v>NIP tidak ditemukan</v>
      </c>
      <c r="Q19" s="273" t="str">
        <f>'rekap nominatif etukin'!C22</f>
        <v>NIP tidak ditemukan</v>
      </c>
      <c r="R19" s="273" t="str">
        <f>'rekap nominatif etukin'!D22</f>
        <v>NIP tidak ditemukan</v>
      </c>
      <c r="S19" s="273" t="str">
        <f>'rekap nominatif etukin'!E22</f>
        <v>NIP tidak ditemukan</v>
      </c>
      <c r="T19" s="273" t="str">
        <f>'rekap nominatif etukin'!F22</f>
        <v>NIP tidak ditemukan</v>
      </c>
      <c r="U19" s="273" t="str">
        <f>'rekap nominatif etukin'!G22</f>
        <v>NIP tidak ditemukan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 t="e">
        <f t="shared" si="0"/>
        <v>#VALUE!</v>
      </c>
      <c r="AD19" s="261"/>
      <c r="AE19" s="274">
        <v>0</v>
      </c>
      <c r="AF19" s="274">
        <v>0</v>
      </c>
      <c r="AG19" s="262" t="e">
        <f t="shared" si="3"/>
        <v>#VALUE!</v>
      </c>
      <c r="AH19" s="275" t="e">
        <f t="shared" si="1"/>
        <v>#VALUE!</v>
      </c>
      <c r="AI19" s="276" t="e">
        <f t="shared" si="2"/>
        <v>#VALUE!</v>
      </c>
    </row>
    <row r="20" spans="1:35" ht="14.5" x14ac:dyDescent="0.35">
      <c r="A20" s="265" t="str">
        <f>bpjs!C27</f>
        <v>NIP tidak ditemukan</v>
      </c>
      <c r="B20" s="266" t="str">
        <f>bank!C26</f>
        <v>MARNI</v>
      </c>
      <c r="C20" s="267" t="str">
        <f>bpjs!D27</f>
        <v>NIP tidak ditemukan</v>
      </c>
      <c r="D20" s="268" t="str">
        <f>IFERROR(INDEX(rekap_tpp[], MATCH(A20, INDEX(rekap_tpp[], 0, 8), 0), 10), "NIP tidak ditemukan")</f>
        <v>NIP tidak ditemukan</v>
      </c>
      <c r="E20" s="269" t="str">
        <f>IFERROR(INDEX(rekap_tpp[], MATCH(A20, INDEX(rekap_tpp[], 0, 8), 0), 9), "NIP tidak ditemukan")</f>
        <v>NIP tidak ditemukan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NIP tidak ditemukan</v>
      </c>
      <c r="K20" s="271"/>
      <c r="L20" s="270"/>
      <c r="M20" s="271" t="s">
        <v>143</v>
      </c>
      <c r="N20" s="270">
        <v>120</v>
      </c>
      <c r="O20" s="270" t="s">
        <v>144</v>
      </c>
      <c r="P20" s="272" t="str">
        <f>IFERROR(INDEX(rekap_tpp[], MATCH(A20, INDEX(rekap_tpp[], 0, 8), 0), 11), "NIP tidak ditemukan")</f>
        <v>NIP tidak ditemukan</v>
      </c>
      <c r="Q20" s="273" t="str">
        <f>'rekap nominatif etukin'!C23</f>
        <v>NIP tidak ditemukan</v>
      </c>
      <c r="R20" s="273" t="str">
        <f>'rekap nominatif etukin'!D23</f>
        <v>NIP tidak ditemukan</v>
      </c>
      <c r="S20" s="273" t="str">
        <f>'rekap nominatif etukin'!E23</f>
        <v>NIP tidak ditemukan</v>
      </c>
      <c r="T20" s="273" t="str">
        <f>'rekap nominatif etukin'!F23</f>
        <v>NIP tidak ditemukan</v>
      </c>
      <c r="U20" s="273" t="str">
        <f>'rekap nominatif etukin'!G23</f>
        <v>NIP tidak ditemukan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 t="e">
        <f t="shared" si="0"/>
        <v>#VALUE!</v>
      </c>
      <c r="AD20" s="261"/>
      <c r="AE20" s="274">
        <v>0</v>
      </c>
      <c r="AF20" s="274">
        <v>0</v>
      </c>
      <c r="AG20" s="262" t="e">
        <f t="shared" si="3"/>
        <v>#VALUE!</v>
      </c>
      <c r="AH20" s="275" t="e">
        <f t="shared" si="1"/>
        <v>#VALUE!</v>
      </c>
      <c r="AI20" s="276" t="e">
        <f t="shared" si="2"/>
        <v>#VALUE!</v>
      </c>
    </row>
    <row r="21" spans="1:35" ht="14.5" x14ac:dyDescent="0.35">
      <c r="A21" s="265" t="str">
        <f>bpjs!C28</f>
        <v>NIP tidak ditemukan</v>
      </c>
      <c r="B21" s="266" t="str">
        <f>bank!C27</f>
        <v>NURWAZATTI ESA</v>
      </c>
      <c r="C21" s="267" t="str">
        <f>bpjs!D28</f>
        <v>NIP tidak ditemukan</v>
      </c>
      <c r="D21" s="268" t="str">
        <f>IFERROR(INDEX(rekap_tpp[], MATCH(A21, INDEX(rekap_tpp[], 0, 8), 0), 10), "NIP tidak ditemukan")</f>
        <v>NIP tidak ditemukan</v>
      </c>
      <c r="E21" s="269" t="str">
        <f>IFERROR(INDEX(rekap_tpp[], MATCH(A21, INDEX(rekap_tpp[], 0, 8), 0), 9), "NIP tidak ditemukan")</f>
        <v>NIP tidak ditemukan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NIP tidak ditemukan</v>
      </c>
      <c r="K21" s="271"/>
      <c r="L21" s="270"/>
      <c r="M21" s="271" t="s">
        <v>143</v>
      </c>
      <c r="N21" s="270">
        <v>120</v>
      </c>
      <c r="O21" s="270" t="s">
        <v>144</v>
      </c>
      <c r="P21" s="272" t="str">
        <f>IFERROR(INDEX(rekap_tpp[], MATCH(A21, INDEX(rekap_tpp[], 0, 8), 0), 11), "NIP tidak ditemukan")</f>
        <v>NIP tidak ditemukan</v>
      </c>
      <c r="Q21" s="273" t="str">
        <f>'rekap nominatif etukin'!C24</f>
        <v>NIP tidak ditemukan</v>
      </c>
      <c r="R21" s="273" t="str">
        <f>'rekap nominatif etukin'!D24</f>
        <v>NIP tidak ditemukan</v>
      </c>
      <c r="S21" s="273" t="str">
        <f>'rekap nominatif etukin'!E24</f>
        <v>NIP tidak ditemukan</v>
      </c>
      <c r="T21" s="273" t="str">
        <f>'rekap nominatif etukin'!F24</f>
        <v>NIP tidak ditemukan</v>
      </c>
      <c r="U21" s="273" t="str">
        <f>'rekap nominatif etukin'!G24</f>
        <v>NIP tidak ditemukan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 t="e">
        <f t="shared" si="0"/>
        <v>#VALUE!</v>
      </c>
      <c r="AD21" s="261"/>
      <c r="AE21" s="274">
        <v>0</v>
      </c>
      <c r="AF21" s="274">
        <v>0</v>
      </c>
      <c r="AG21" s="262" t="e">
        <f t="shared" si="3"/>
        <v>#VALUE!</v>
      </c>
      <c r="AH21" s="275" t="e">
        <f t="shared" si="1"/>
        <v>#VALUE!</v>
      </c>
      <c r="AI21" s="276" t="e">
        <f t="shared" si="2"/>
        <v>#VALUE!</v>
      </c>
    </row>
    <row r="22" spans="1:35" ht="14.5" x14ac:dyDescent="0.35">
      <c r="A22" s="265" t="str">
        <f>bpjs!C29</f>
        <v>NIP tidak ditemukan</v>
      </c>
      <c r="B22" s="266" t="str">
        <f>bank!C28</f>
        <v>PADILAWATI</v>
      </c>
      <c r="C22" s="267" t="str">
        <f>bpjs!D29</f>
        <v>NIP tidak ditemukan</v>
      </c>
      <c r="D22" s="268" t="str">
        <f>IFERROR(INDEX(rekap_tpp[], MATCH(A22, INDEX(rekap_tpp[], 0, 8), 0), 10), "NIP tidak ditemukan")</f>
        <v>NIP tidak ditemukan</v>
      </c>
      <c r="E22" s="269" t="str">
        <f>IFERROR(INDEX(rekap_tpp[], MATCH(A22, INDEX(rekap_tpp[], 0, 8), 0), 9), "NIP tidak ditemukan")</f>
        <v>NIP tidak ditemukan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NIP tidak ditemukan</v>
      </c>
      <c r="K22" s="271"/>
      <c r="L22" s="270"/>
      <c r="M22" s="271" t="s">
        <v>143</v>
      </c>
      <c r="N22" s="270">
        <v>120</v>
      </c>
      <c r="O22" s="270" t="s">
        <v>144</v>
      </c>
      <c r="P22" s="272" t="str">
        <f>IFERROR(INDEX(rekap_tpp[], MATCH(A22, INDEX(rekap_tpp[], 0, 8), 0), 11), "NIP tidak ditemukan")</f>
        <v>NIP tidak ditemukan</v>
      </c>
      <c r="Q22" s="273" t="str">
        <f>'rekap nominatif etukin'!C25</f>
        <v>NIP tidak ditemukan</v>
      </c>
      <c r="R22" s="273" t="str">
        <f>'rekap nominatif etukin'!D25</f>
        <v>NIP tidak ditemukan</v>
      </c>
      <c r="S22" s="273" t="str">
        <f>'rekap nominatif etukin'!E25</f>
        <v>NIP tidak ditemukan</v>
      </c>
      <c r="T22" s="273" t="str">
        <f>'rekap nominatif etukin'!F25</f>
        <v>NIP tidak ditemukan</v>
      </c>
      <c r="U22" s="273" t="str">
        <f>'rekap nominatif etukin'!G25</f>
        <v>NIP tidak ditemukan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 t="e">
        <f t="shared" si="0"/>
        <v>#VALUE!</v>
      </c>
      <c r="AD22" s="261"/>
      <c r="AE22" s="274">
        <v>0</v>
      </c>
      <c r="AF22" s="274">
        <v>0</v>
      </c>
      <c r="AG22" s="262" t="e">
        <f t="shared" si="3"/>
        <v>#VALUE!</v>
      </c>
      <c r="AH22" s="275" t="e">
        <f t="shared" si="1"/>
        <v>#VALUE!</v>
      </c>
      <c r="AI22" s="276" t="e">
        <f t="shared" si="2"/>
        <v>#VALUE!</v>
      </c>
    </row>
    <row r="23" spans="1:35" ht="14.5" x14ac:dyDescent="0.35">
      <c r="A23" s="265" t="str">
        <f>bpjs!C30</f>
        <v>NIP tidak ditemukan</v>
      </c>
      <c r="B23" s="266" t="str">
        <f>bank!C29</f>
        <v>RIZALDI</v>
      </c>
      <c r="C23" s="267" t="str">
        <f>bpjs!D30</f>
        <v>NIP tidak ditemukan</v>
      </c>
      <c r="D23" s="268" t="str">
        <f>IFERROR(INDEX(rekap_tpp[], MATCH(A23, INDEX(rekap_tpp[], 0, 8), 0), 10), "NIP tidak ditemukan")</f>
        <v>NIP tidak ditemukan</v>
      </c>
      <c r="E23" s="269" t="str">
        <f>IFERROR(INDEX(rekap_tpp[], MATCH(A23, INDEX(rekap_tpp[], 0, 8), 0), 9), "NIP tidak ditemukan")</f>
        <v>NIP tidak ditemukan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NIP tidak ditemukan</v>
      </c>
      <c r="K23" s="271"/>
      <c r="L23" s="270"/>
      <c r="M23" s="271" t="s">
        <v>143</v>
      </c>
      <c r="N23" s="270">
        <v>120</v>
      </c>
      <c r="O23" s="270" t="s">
        <v>144</v>
      </c>
      <c r="P23" s="272" t="str">
        <f>IFERROR(INDEX(rekap_tpp[], MATCH(A23, INDEX(rekap_tpp[], 0, 8), 0), 11), "NIP tidak ditemukan")</f>
        <v>NIP tidak ditemukan</v>
      </c>
      <c r="Q23" s="273" t="str">
        <f>'rekap nominatif etukin'!C26</f>
        <v>NIP tidak ditemukan</v>
      </c>
      <c r="R23" s="273" t="str">
        <f>'rekap nominatif etukin'!D26</f>
        <v>NIP tidak ditemukan</v>
      </c>
      <c r="S23" s="273" t="str">
        <f>'rekap nominatif etukin'!E26</f>
        <v>NIP tidak ditemukan</v>
      </c>
      <c r="T23" s="273" t="str">
        <f>'rekap nominatif etukin'!F26</f>
        <v>NIP tidak ditemukan</v>
      </c>
      <c r="U23" s="273" t="str">
        <f>'rekap nominatif etukin'!G26</f>
        <v>NIP tidak ditemukan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 t="e">
        <f t="shared" si="0"/>
        <v>#VALUE!</v>
      </c>
      <c r="AD23" s="261"/>
      <c r="AE23" s="274">
        <v>0</v>
      </c>
      <c r="AF23" s="274">
        <v>0</v>
      </c>
      <c r="AG23" s="262" t="e">
        <f t="shared" si="3"/>
        <v>#VALUE!</v>
      </c>
      <c r="AH23" s="275" t="e">
        <f t="shared" si="1"/>
        <v>#VALUE!</v>
      </c>
      <c r="AI23" s="276" t="e">
        <f t="shared" si="2"/>
        <v>#VALUE!</v>
      </c>
    </row>
    <row r="24" spans="1:35" ht="14.5" x14ac:dyDescent="0.35">
      <c r="A24" s="265" t="str">
        <f>bpjs!C31</f>
        <v>NIP tidak ditemukan</v>
      </c>
      <c r="B24" s="266" t="str">
        <f>bank!C30</f>
        <v>SRI HANDAYANI</v>
      </c>
      <c r="C24" s="267" t="str">
        <f>bpjs!D31</f>
        <v>NIP tidak ditemukan</v>
      </c>
      <c r="D24" s="268" t="str">
        <f>IFERROR(INDEX(rekap_tpp[], MATCH(A24, INDEX(rekap_tpp[], 0, 8), 0), 10), "NIP tidak ditemukan")</f>
        <v>NIP tidak ditemukan</v>
      </c>
      <c r="E24" s="269" t="str">
        <f>IFERROR(INDEX(rekap_tpp[], MATCH(A24, INDEX(rekap_tpp[], 0, 8), 0), 9), "NIP tidak ditemukan")</f>
        <v>NIP tidak ditemukan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NIP tidak ditemukan</v>
      </c>
      <c r="K24" s="271"/>
      <c r="L24" s="270"/>
      <c r="M24" s="271" t="s">
        <v>143</v>
      </c>
      <c r="N24" s="270">
        <v>120</v>
      </c>
      <c r="O24" s="270" t="s">
        <v>144</v>
      </c>
      <c r="P24" s="272" t="str">
        <f>IFERROR(INDEX(rekap_tpp[], MATCH(A24, INDEX(rekap_tpp[], 0, 8), 0), 11), "NIP tidak ditemukan")</f>
        <v>NIP tidak ditemukan</v>
      </c>
      <c r="Q24" s="273" t="str">
        <f>'rekap nominatif etukin'!C27</f>
        <v>NIP tidak ditemukan</v>
      </c>
      <c r="R24" s="273" t="str">
        <f>'rekap nominatif etukin'!D27</f>
        <v>NIP tidak ditemukan</v>
      </c>
      <c r="S24" s="273" t="str">
        <f>'rekap nominatif etukin'!E27</f>
        <v>NIP tidak ditemukan</v>
      </c>
      <c r="T24" s="273" t="str">
        <f>'rekap nominatif etukin'!F27</f>
        <v>NIP tidak ditemukan</v>
      </c>
      <c r="U24" s="273" t="str">
        <f>'rekap nominatif etukin'!G27</f>
        <v>NIP tidak ditemukan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 t="e">
        <f t="shared" si="0"/>
        <v>#VALUE!</v>
      </c>
      <c r="AD24" s="261"/>
      <c r="AE24" s="274">
        <v>0</v>
      </c>
      <c r="AF24" s="274">
        <v>0</v>
      </c>
      <c r="AG24" s="262" t="e">
        <f t="shared" si="3"/>
        <v>#VALUE!</v>
      </c>
      <c r="AH24" s="275" t="e">
        <f t="shared" si="1"/>
        <v>#VALUE!</v>
      </c>
      <c r="AI24" s="276" t="e">
        <f t="shared" si="2"/>
        <v>#VALUE!</v>
      </c>
    </row>
    <row r="25" spans="1:35" ht="14.5" x14ac:dyDescent="0.35">
      <c r="A25" s="265" t="str">
        <f>bpjs!C32</f>
        <v>NIP tidak ditemukan</v>
      </c>
      <c r="B25" s="266" t="str">
        <f>bank!C31</f>
        <v>SYAHRYANTO</v>
      </c>
      <c r="C25" s="267" t="str">
        <f>bpjs!D32</f>
        <v>NIP tidak ditemukan</v>
      </c>
      <c r="D25" s="268" t="str">
        <f>IFERROR(INDEX(rekap_tpp[], MATCH(A25, INDEX(rekap_tpp[], 0, 8), 0), 10), "NIP tidak ditemukan")</f>
        <v>NIP tidak ditemukan</v>
      </c>
      <c r="E25" s="269" t="str">
        <f>IFERROR(INDEX(rekap_tpp[], MATCH(A25, INDEX(rekap_tpp[], 0, 8), 0), 9), "NIP tidak ditemukan")</f>
        <v>NIP tidak ditemukan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NIP tidak ditemukan</v>
      </c>
      <c r="K25" s="271"/>
      <c r="L25" s="270"/>
      <c r="M25" s="271" t="s">
        <v>143</v>
      </c>
      <c r="N25" s="270">
        <v>120</v>
      </c>
      <c r="O25" s="270" t="s">
        <v>144</v>
      </c>
      <c r="P25" s="272" t="str">
        <f>IFERROR(INDEX(rekap_tpp[], MATCH(A25, INDEX(rekap_tpp[], 0, 8), 0), 11), "NIP tidak ditemukan")</f>
        <v>NIP tidak ditemukan</v>
      </c>
      <c r="Q25" s="273" t="str">
        <f>'rekap nominatif etukin'!C28</f>
        <v>NIP tidak ditemukan</v>
      </c>
      <c r="R25" s="273" t="str">
        <f>'rekap nominatif etukin'!D28</f>
        <v>NIP tidak ditemukan</v>
      </c>
      <c r="S25" s="273" t="str">
        <f>'rekap nominatif etukin'!E28</f>
        <v>NIP tidak ditemukan</v>
      </c>
      <c r="T25" s="273" t="str">
        <f>'rekap nominatif etukin'!F28</f>
        <v>NIP tidak ditemukan</v>
      </c>
      <c r="U25" s="273" t="str">
        <f>'rekap nominatif etukin'!G28</f>
        <v>NIP tidak ditemukan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 t="e">
        <f t="shared" si="0"/>
        <v>#VALUE!</v>
      </c>
      <c r="AD25" s="261"/>
      <c r="AE25" s="274">
        <v>0</v>
      </c>
      <c r="AF25" s="274">
        <v>0</v>
      </c>
      <c r="AG25" s="262" t="e">
        <f t="shared" si="3"/>
        <v>#VALUE!</v>
      </c>
      <c r="AH25" s="275" t="e">
        <f t="shared" si="1"/>
        <v>#VALUE!</v>
      </c>
      <c r="AI25" s="276" t="e">
        <f t="shared" si="2"/>
        <v>#VALUE!</v>
      </c>
    </row>
    <row r="26" spans="1:35" ht="14.5" x14ac:dyDescent="0.35">
      <c r="A26" s="265" t="str">
        <f>bpjs!C33</f>
        <v>NIP tidak ditemukan</v>
      </c>
      <c r="B26" s="266" t="str">
        <f>bank!C32</f>
        <v>SYAMSIAH</v>
      </c>
      <c r="C26" s="267" t="str">
        <f>bpjs!D33</f>
        <v>NIP tidak ditemukan</v>
      </c>
      <c r="D26" s="268" t="str">
        <f>IFERROR(INDEX(rekap_tpp[], MATCH(A26, INDEX(rekap_tpp[], 0, 8), 0), 10), "NIP tidak ditemukan")</f>
        <v>NIP tidak ditemukan</v>
      </c>
      <c r="E26" s="269" t="str">
        <f>IFERROR(INDEX(rekap_tpp[], MATCH(A26, INDEX(rekap_tpp[], 0, 8), 0), 9), "NIP tidak ditemukan")</f>
        <v>NIP tidak ditemukan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NIP tidak ditemukan</v>
      </c>
      <c r="K26" s="271"/>
      <c r="L26" s="270"/>
      <c r="M26" s="271" t="s">
        <v>143</v>
      </c>
      <c r="N26" s="270">
        <v>120</v>
      </c>
      <c r="O26" s="270" t="s">
        <v>144</v>
      </c>
      <c r="P26" s="272" t="str">
        <f>IFERROR(INDEX(rekap_tpp[], MATCH(A26, INDEX(rekap_tpp[], 0, 8), 0), 11), "NIP tidak ditemukan")</f>
        <v>NIP tidak ditemukan</v>
      </c>
      <c r="Q26" s="273" t="str">
        <f>'rekap nominatif etukin'!C29</f>
        <v>NIP tidak ditemukan</v>
      </c>
      <c r="R26" s="273" t="str">
        <f>'rekap nominatif etukin'!D29</f>
        <v>NIP tidak ditemukan</v>
      </c>
      <c r="S26" s="273" t="str">
        <f>'rekap nominatif etukin'!E29</f>
        <v>NIP tidak ditemukan</v>
      </c>
      <c r="T26" s="273" t="str">
        <f>'rekap nominatif etukin'!F29</f>
        <v>NIP tidak ditemukan</v>
      </c>
      <c r="U26" s="273" t="str">
        <f>'rekap nominatif etukin'!G29</f>
        <v>NIP tidak ditemukan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 t="e">
        <f t="shared" si="0"/>
        <v>#VALUE!</v>
      </c>
      <c r="AD26" s="261"/>
      <c r="AE26" s="274">
        <v>0</v>
      </c>
      <c r="AF26" s="274">
        <v>0</v>
      </c>
      <c r="AG26" s="262" t="e">
        <f t="shared" si="3"/>
        <v>#VALUE!</v>
      </c>
      <c r="AH26" s="275" t="e">
        <f t="shared" si="1"/>
        <v>#VALUE!</v>
      </c>
      <c r="AI26" s="276" t="e">
        <f t="shared" si="2"/>
        <v>#VALUE!</v>
      </c>
    </row>
    <row r="27" spans="1:35" ht="14.5" x14ac:dyDescent="0.35">
      <c r="A27" s="265" t="str">
        <f>bpjs!C34</f>
        <v>NIP tidak ditemukan</v>
      </c>
      <c r="B27" s="266" t="str">
        <f>bank!C33</f>
        <v>TOTOK SUPRIJADI</v>
      </c>
      <c r="C27" s="267" t="str">
        <f>bpjs!D34</f>
        <v>NIP tidak ditemukan</v>
      </c>
      <c r="D27" s="268" t="str">
        <f>IFERROR(INDEX(rekap_tpp[], MATCH(A27, INDEX(rekap_tpp[], 0, 8), 0), 10), "NIP tidak ditemukan")</f>
        <v>NIP tidak ditemukan</v>
      </c>
      <c r="E27" s="269" t="str">
        <f>IFERROR(INDEX(rekap_tpp[], MATCH(A27, INDEX(rekap_tpp[], 0, 8), 0), 9), "NIP tidak ditemukan")</f>
        <v>NIP tidak ditemukan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NIP tidak ditemukan</v>
      </c>
      <c r="K27" s="271"/>
      <c r="L27" s="270"/>
      <c r="M27" s="271" t="s">
        <v>143</v>
      </c>
      <c r="N27" s="270">
        <v>120</v>
      </c>
      <c r="O27" s="270" t="s">
        <v>144</v>
      </c>
      <c r="P27" s="272" t="str">
        <f>IFERROR(INDEX(rekap_tpp[], MATCH(A27, INDEX(rekap_tpp[], 0, 8), 0), 11), "NIP tidak ditemukan")</f>
        <v>NIP tidak ditemukan</v>
      </c>
      <c r="Q27" s="273" t="str">
        <f>'rekap nominatif etukin'!C30</f>
        <v>NIP tidak ditemukan</v>
      </c>
      <c r="R27" s="273" t="str">
        <f>'rekap nominatif etukin'!D30</f>
        <v>NIP tidak ditemukan</v>
      </c>
      <c r="S27" s="273" t="str">
        <f>'rekap nominatif etukin'!E30</f>
        <v>NIP tidak ditemukan</v>
      </c>
      <c r="T27" s="273" t="str">
        <f>'rekap nominatif etukin'!F30</f>
        <v>NIP tidak ditemukan</v>
      </c>
      <c r="U27" s="273" t="str">
        <f>'rekap nominatif etukin'!G30</f>
        <v>NIP tidak ditemukan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 t="e">
        <f t="shared" si="0"/>
        <v>#VALUE!</v>
      </c>
      <c r="AD27" s="261"/>
      <c r="AE27" s="274">
        <v>0</v>
      </c>
      <c r="AF27" s="274">
        <v>0</v>
      </c>
      <c r="AG27" s="262" t="e">
        <f t="shared" si="3"/>
        <v>#VALUE!</v>
      </c>
      <c r="AH27" s="275" t="e">
        <f t="shared" si="1"/>
        <v>#VALUE!</v>
      </c>
      <c r="AI27" s="276" t="e">
        <f t="shared" si="2"/>
        <v>#VALUE!</v>
      </c>
    </row>
    <row r="28" spans="1:35" ht="14.5" x14ac:dyDescent="0.35">
      <c r="A28" s="265" t="str">
        <f>bpjs!C35</f>
        <v>NIP tidak ditemukan</v>
      </c>
      <c r="B28" s="266" t="str">
        <f>bank!C34</f>
        <v>YOPA AGUSTINA</v>
      </c>
      <c r="C28" s="267" t="str">
        <f>bpjs!D35</f>
        <v>NIP tidak ditemukan</v>
      </c>
      <c r="D28" s="268" t="str">
        <f>IFERROR(INDEX(rekap_tpp[], MATCH(A28, INDEX(rekap_tpp[], 0, 8), 0), 10), "NIP tidak ditemukan")</f>
        <v>NIP tidak ditemukan</v>
      </c>
      <c r="E28" s="269" t="str">
        <f>IFERROR(INDEX(rekap_tpp[], MATCH(A28, INDEX(rekap_tpp[], 0, 8), 0), 9), "NIP tidak ditemukan")</f>
        <v>NIP tidak ditemukan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NIP tidak ditemukan</v>
      </c>
      <c r="K28" s="271"/>
      <c r="L28" s="270"/>
      <c r="M28" s="271" t="s">
        <v>143</v>
      </c>
      <c r="N28" s="270">
        <v>120</v>
      </c>
      <c r="O28" s="270" t="s">
        <v>144</v>
      </c>
      <c r="P28" s="272" t="str">
        <f>IFERROR(INDEX(rekap_tpp[], MATCH(A28, INDEX(rekap_tpp[], 0, 8), 0), 11), "NIP tidak ditemukan")</f>
        <v>NIP tidak ditemukan</v>
      </c>
      <c r="Q28" s="273" t="str">
        <f>'rekap nominatif etukin'!C31</f>
        <v>NIP tidak ditemukan</v>
      </c>
      <c r="R28" s="273" t="str">
        <f>'rekap nominatif etukin'!D31</f>
        <v>NIP tidak ditemukan</v>
      </c>
      <c r="S28" s="273" t="str">
        <f>'rekap nominatif etukin'!E31</f>
        <v>NIP tidak ditemukan</v>
      </c>
      <c r="T28" s="273" t="str">
        <f>'rekap nominatif etukin'!F31</f>
        <v>NIP tidak ditemukan</v>
      </c>
      <c r="U28" s="273" t="str">
        <f>'rekap nominatif etukin'!G31</f>
        <v>NIP tidak ditemukan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 t="e">
        <f t="shared" ref="AC28" si="4">AG28*1%</f>
        <v>#VALUE!</v>
      </c>
      <c r="AD28" s="261"/>
      <c r="AE28" s="274">
        <v>0</v>
      </c>
      <c r="AF28" s="274">
        <v>0</v>
      </c>
      <c r="AG28" s="262" t="e">
        <f t="shared" si="3"/>
        <v>#VALUE!</v>
      </c>
      <c r="AH28" s="275" t="e">
        <f t="shared" ref="AH28" si="5">W28+AD28+AC28</f>
        <v>#VALUE!</v>
      </c>
      <c r="AI28" s="276" t="e">
        <f t="shared" ref="AI28" si="6">AG28-AH28</f>
        <v>#VALUE!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0</v>
      </c>
      <c r="R29" s="285">
        <f>'rekap nominatif etukin'!D32</f>
        <v>0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 t="e">
        <f t="shared" si="7"/>
        <v>#VALUE!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0</v>
      </c>
      <c r="AH29" s="287" t="e">
        <f t="shared" si="7"/>
        <v>#VALUE!</v>
      </c>
      <c r="AI29" s="288" t="e">
        <f t="shared" si="7"/>
        <v>#VALUE!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3"/>
  <sheetViews>
    <sheetView tabSelected="1" topLeftCell="Y1" zoomScale="66" workbookViewId="0">
      <selection activeCell="E15" sqref="E15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06" t="s">
        <v>100</v>
      </c>
      <c r="I1" s="306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06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 t="s">
        <v>386</v>
      </c>
      <c r="AG1" s="306"/>
      <c r="AH1" s="306"/>
    </row>
    <row r="2" spans="1:34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t="s">
        <v>6</v>
      </c>
      <c r="I2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t="s">
        <v>278</v>
      </c>
      <c r="U2" t="s">
        <v>279</v>
      </c>
      <c r="V2" t="s">
        <v>280</v>
      </c>
      <c r="W2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  <c r="AC2" t="s">
        <v>287</v>
      </c>
      <c r="AD2" t="s">
        <v>288</v>
      </c>
      <c r="AE2" t="s">
        <v>289</v>
      </c>
      <c r="AF2"/>
      <c r="AG2"/>
      <c r="AH2"/>
    </row>
    <row r="3" spans="1:34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289">
        <v>1.9720405200501101E+17</v>
      </c>
      <c r="I3" s="402">
        <v>26423</v>
      </c>
      <c r="J3" s="289" t="s">
        <v>185</v>
      </c>
      <c r="K3" s="289">
        <v>1610102532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289">
        <v>1904010504720002</v>
      </c>
      <c r="U3" s="289">
        <v>2</v>
      </c>
      <c r="V3" s="289">
        <v>1</v>
      </c>
      <c r="W3" s="289">
        <v>24</v>
      </c>
      <c r="X3" s="289" t="s">
        <v>293</v>
      </c>
      <c r="Y3" s="289">
        <v>1</v>
      </c>
      <c r="Z3" s="289">
        <v>1</v>
      </c>
      <c r="AA3" s="289">
        <v>1</v>
      </c>
      <c r="AB3" s="289" t="s">
        <v>294</v>
      </c>
      <c r="AC3" s="289">
        <v>1610102532</v>
      </c>
      <c r="AD3" s="289" t="s">
        <v>295</v>
      </c>
      <c r="AE3" s="289">
        <v>83635</v>
      </c>
      <c r="AF3"/>
      <c r="AG3"/>
      <c r="AH3"/>
    </row>
    <row r="4" spans="1:34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289">
        <v>1.9860914201902099E+17</v>
      </c>
      <c r="I4" s="289" t="s">
        <v>390</v>
      </c>
      <c r="J4" s="289" t="s">
        <v>199</v>
      </c>
      <c r="K4" s="289">
        <v>16109001439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289">
        <v>1904011409860001</v>
      </c>
      <c r="U4" s="289">
        <v>2</v>
      </c>
      <c r="V4" s="289">
        <v>1</v>
      </c>
      <c r="W4" s="289">
        <v>6</v>
      </c>
      <c r="X4" s="289" t="s">
        <v>298</v>
      </c>
      <c r="Y4" s="289">
        <v>2</v>
      </c>
      <c r="Z4" s="289">
        <v>0</v>
      </c>
      <c r="AA4" s="289">
        <v>0</v>
      </c>
      <c r="AB4" s="289" t="s">
        <v>294</v>
      </c>
      <c r="AC4" s="289">
        <v>16109001439</v>
      </c>
      <c r="AD4" s="289" t="s">
        <v>295</v>
      </c>
      <c r="AE4" s="289">
        <v>65535</v>
      </c>
    </row>
    <row r="5" spans="1:34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289">
        <v>1.9670410202221101E+17</v>
      </c>
      <c r="I5" s="402">
        <v>24749</v>
      </c>
      <c r="J5" s="289" t="s">
        <v>206</v>
      </c>
      <c r="K5" s="289">
        <v>1610800075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289">
        <v>1904011004670001</v>
      </c>
      <c r="U5" s="289">
        <v>2</v>
      </c>
      <c r="V5" s="289">
        <v>2</v>
      </c>
      <c r="W5" s="289">
        <v>2</v>
      </c>
      <c r="X5" s="289" t="s">
        <v>301</v>
      </c>
      <c r="Y5" s="289">
        <v>1</v>
      </c>
      <c r="Z5" s="289">
        <v>1</v>
      </c>
      <c r="AA5" s="289">
        <v>0</v>
      </c>
      <c r="AB5" s="289" t="s">
        <v>294</v>
      </c>
      <c r="AC5" s="289">
        <v>1610800075</v>
      </c>
      <c r="AD5" s="289" t="s">
        <v>295</v>
      </c>
      <c r="AE5" s="289">
        <v>65535</v>
      </c>
    </row>
    <row r="6" spans="1:34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289">
        <v>1.9990717202421101E+17</v>
      </c>
      <c r="I6" s="289" t="s">
        <v>391</v>
      </c>
      <c r="J6" s="289" t="s">
        <v>218</v>
      </c>
      <c r="K6" s="289">
        <v>1440966672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289">
        <v>1971041707990003</v>
      </c>
      <c r="U6" s="289">
        <v>2</v>
      </c>
      <c r="V6" s="289">
        <v>2</v>
      </c>
      <c r="W6" s="289">
        <v>0</v>
      </c>
      <c r="X6" s="289" t="s">
        <v>303</v>
      </c>
      <c r="Y6" s="289">
        <v>1</v>
      </c>
      <c r="Z6" s="289">
        <v>1</v>
      </c>
      <c r="AA6" s="289">
        <v>0</v>
      </c>
      <c r="AB6" s="289" t="s">
        <v>294</v>
      </c>
      <c r="AC6" s="289">
        <v>1440966672</v>
      </c>
      <c r="AD6" s="289" t="s">
        <v>295</v>
      </c>
      <c r="AE6" s="289">
        <v>65535</v>
      </c>
    </row>
    <row r="7" spans="1:34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289">
        <v>1.9900122201902202E+17</v>
      </c>
      <c r="I7" s="289" t="s">
        <v>392</v>
      </c>
      <c r="J7" s="289" t="s">
        <v>205</v>
      </c>
      <c r="K7" s="289">
        <v>15509001575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289">
        <v>1371066201900003</v>
      </c>
      <c r="U7" s="289">
        <v>2</v>
      </c>
      <c r="V7" s="289">
        <v>1</v>
      </c>
      <c r="W7" s="289">
        <v>6</v>
      </c>
      <c r="X7" s="289" t="s">
        <v>306</v>
      </c>
      <c r="Y7" s="289">
        <v>1</v>
      </c>
      <c r="Z7" s="289">
        <v>1</v>
      </c>
      <c r="AA7" s="289">
        <v>2</v>
      </c>
      <c r="AB7" s="289" t="s">
        <v>294</v>
      </c>
      <c r="AC7" s="289">
        <v>15509001575</v>
      </c>
      <c r="AD7" s="289" t="s">
        <v>295</v>
      </c>
      <c r="AE7" s="289">
        <v>65535</v>
      </c>
    </row>
    <row r="8" spans="1:34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289">
        <v>1.9930424202221101E+17</v>
      </c>
      <c r="I8" s="289" t="s">
        <v>393</v>
      </c>
      <c r="J8" s="289" t="s">
        <v>214</v>
      </c>
      <c r="K8" s="289">
        <v>16109012254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289">
        <v>1904012404930003</v>
      </c>
      <c r="U8" s="289">
        <v>2</v>
      </c>
      <c r="V8" s="289">
        <v>2</v>
      </c>
      <c r="W8" s="289">
        <v>2</v>
      </c>
      <c r="X8" s="289" t="s">
        <v>308</v>
      </c>
      <c r="Y8" s="289">
        <v>1</v>
      </c>
      <c r="Z8" s="289">
        <v>1</v>
      </c>
      <c r="AA8" s="289">
        <v>1</v>
      </c>
      <c r="AB8" s="289" t="s">
        <v>294</v>
      </c>
      <c r="AC8" s="289">
        <v>1610905992</v>
      </c>
      <c r="AD8" s="289" t="s">
        <v>295</v>
      </c>
      <c r="AE8" s="289">
        <v>65535</v>
      </c>
    </row>
    <row r="9" spans="1:34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289">
        <v>1.9860201201402099E+17</v>
      </c>
      <c r="I9" s="402">
        <v>31414</v>
      </c>
      <c r="J9" s="289" t="s">
        <v>198</v>
      </c>
      <c r="K9" s="289">
        <v>16109012278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289">
        <v>3278010102860008</v>
      </c>
      <c r="U9" s="289">
        <v>2</v>
      </c>
      <c r="V9" s="289">
        <v>1</v>
      </c>
      <c r="W9" s="289">
        <v>10</v>
      </c>
      <c r="X9" s="289" t="s">
        <v>310</v>
      </c>
      <c r="Y9" s="289">
        <v>1</v>
      </c>
      <c r="Z9" s="289">
        <v>1</v>
      </c>
      <c r="AA9" s="289">
        <v>2</v>
      </c>
      <c r="AB9" s="289" t="s">
        <v>294</v>
      </c>
      <c r="AC9" s="289">
        <v>1610905249</v>
      </c>
      <c r="AD9" s="289" t="s">
        <v>295</v>
      </c>
      <c r="AE9" s="289">
        <v>66618</v>
      </c>
    </row>
    <row r="10" spans="1:34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289">
        <v>1.9810315200804202E+17</v>
      </c>
      <c r="I10" s="289" t="s">
        <v>394</v>
      </c>
      <c r="J10" s="289" t="s">
        <v>190</v>
      </c>
      <c r="K10" s="289">
        <v>1610105556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289">
        <v>1901025503810001</v>
      </c>
      <c r="U10" s="289">
        <v>2</v>
      </c>
      <c r="V10" s="289">
        <v>1</v>
      </c>
      <c r="W10" s="289">
        <v>16</v>
      </c>
      <c r="X10" s="289" t="s">
        <v>312</v>
      </c>
      <c r="Y10" s="289">
        <v>1</v>
      </c>
      <c r="Z10" s="289">
        <v>1</v>
      </c>
      <c r="AA10" s="289">
        <v>2</v>
      </c>
      <c r="AB10" s="289" t="s">
        <v>294</v>
      </c>
      <c r="AC10" s="289">
        <v>1610105556</v>
      </c>
      <c r="AD10" s="289" t="s">
        <v>295</v>
      </c>
      <c r="AE10" s="289">
        <v>76207</v>
      </c>
    </row>
    <row r="11" spans="1:34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289">
        <v>1.9880930201212099E+17</v>
      </c>
      <c r="I11" s="289" t="s">
        <v>395</v>
      </c>
      <c r="J11" s="289" t="s">
        <v>203</v>
      </c>
      <c r="K11" s="289">
        <v>1610107829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289">
        <v>1671043009880003</v>
      </c>
      <c r="U11" s="289">
        <v>2</v>
      </c>
      <c r="V11" s="289">
        <v>1</v>
      </c>
      <c r="W11" s="289">
        <v>12</v>
      </c>
      <c r="X11" s="289" t="s">
        <v>314</v>
      </c>
      <c r="Y11" s="289">
        <v>1</v>
      </c>
      <c r="Z11" s="289">
        <v>1</v>
      </c>
      <c r="AA11" s="289">
        <v>2</v>
      </c>
      <c r="AB11" s="289" t="s">
        <v>294</v>
      </c>
      <c r="AC11" s="289">
        <v>1610107829</v>
      </c>
      <c r="AD11" s="289" t="s">
        <v>295</v>
      </c>
      <c r="AE11" s="289">
        <v>67405</v>
      </c>
    </row>
    <row r="12" spans="1:34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289">
        <v>1.9841015200804099E+17</v>
      </c>
      <c r="I12" s="289" t="s">
        <v>396</v>
      </c>
      <c r="J12" s="289" t="s">
        <v>196</v>
      </c>
      <c r="K12" s="289">
        <v>16109012398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289">
        <v>1971031510840002</v>
      </c>
      <c r="U12" s="289">
        <v>2</v>
      </c>
      <c r="V12" s="289">
        <v>1</v>
      </c>
      <c r="W12" s="289">
        <v>17</v>
      </c>
      <c r="X12" s="289" t="s">
        <v>316</v>
      </c>
      <c r="Y12" s="289">
        <v>1</v>
      </c>
      <c r="Z12" s="289">
        <v>1</v>
      </c>
      <c r="AA12" s="289">
        <v>2</v>
      </c>
      <c r="AB12" s="289" t="s">
        <v>294</v>
      </c>
      <c r="AC12" s="289">
        <v>1610906028</v>
      </c>
      <c r="AD12" s="289" t="s">
        <v>295</v>
      </c>
      <c r="AE12" s="289">
        <v>76207</v>
      </c>
    </row>
    <row r="13" spans="1:34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289">
        <v>1.98612282011012E+17</v>
      </c>
      <c r="I13" s="289" t="s">
        <v>397</v>
      </c>
      <c r="J13" s="289" t="s">
        <v>201</v>
      </c>
      <c r="K13" s="289">
        <v>16109012246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289">
        <v>1904016812860001</v>
      </c>
      <c r="U13" s="289">
        <v>2</v>
      </c>
      <c r="V13" s="289">
        <v>1</v>
      </c>
      <c r="W13" s="289">
        <v>14</v>
      </c>
      <c r="X13" s="289" t="s">
        <v>318</v>
      </c>
      <c r="Y13" s="289">
        <v>1</v>
      </c>
      <c r="Z13" s="289">
        <v>1</v>
      </c>
      <c r="AA13" s="289">
        <v>1</v>
      </c>
      <c r="AB13" s="289" t="s">
        <v>294</v>
      </c>
      <c r="AC13" s="289">
        <v>1610106971</v>
      </c>
      <c r="AD13" s="289" t="s">
        <v>295</v>
      </c>
      <c r="AE13" s="289">
        <v>68716</v>
      </c>
    </row>
    <row r="14" spans="1:34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289">
        <v>1.9810901200804099E+17</v>
      </c>
      <c r="I14" s="402">
        <v>29595</v>
      </c>
      <c r="J14" s="289" t="s">
        <v>237</v>
      </c>
      <c r="K14" s="289">
        <v>1610106580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289">
        <v>1971050109810003</v>
      </c>
      <c r="U14" s="289">
        <v>2</v>
      </c>
      <c r="V14" s="289">
        <v>1</v>
      </c>
      <c r="W14" s="289">
        <v>17</v>
      </c>
      <c r="X14" s="289" t="s">
        <v>320</v>
      </c>
      <c r="Y14" s="289">
        <v>1</v>
      </c>
      <c r="Z14" s="289">
        <v>1</v>
      </c>
      <c r="AA14" s="289">
        <v>2</v>
      </c>
      <c r="AB14" s="289" t="s">
        <v>294</v>
      </c>
      <c r="AC14" s="289">
        <v>1610106580</v>
      </c>
      <c r="AD14" s="289" t="s">
        <v>295</v>
      </c>
      <c r="AE14" s="289">
        <v>76207</v>
      </c>
    </row>
    <row r="15" spans="1:34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289">
        <v>1.9740618200604102E+17</v>
      </c>
      <c r="I15" s="289" t="s">
        <v>398</v>
      </c>
      <c r="J15" s="289" t="s">
        <v>387</v>
      </c>
      <c r="K15" s="289">
        <v>1440105481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289">
        <v>1971051806740001</v>
      </c>
      <c r="U15" s="289">
        <v>2</v>
      </c>
      <c r="V15" s="289">
        <v>1</v>
      </c>
      <c r="W15" s="289">
        <v>18</v>
      </c>
      <c r="X15" s="289" t="s">
        <v>323</v>
      </c>
      <c r="Y15" s="289">
        <v>1</v>
      </c>
      <c r="Z15" s="289">
        <v>1</v>
      </c>
      <c r="AA15" s="289">
        <v>2</v>
      </c>
      <c r="AB15" s="289" t="s">
        <v>294</v>
      </c>
      <c r="AC15" s="289">
        <v>1440105481</v>
      </c>
      <c r="AD15" s="289" t="s">
        <v>295</v>
      </c>
      <c r="AE15" s="289">
        <v>65535</v>
      </c>
    </row>
    <row r="16" spans="1:34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289">
        <v>1.9810825201101101E+17</v>
      </c>
      <c r="I16" s="289" t="s">
        <v>399</v>
      </c>
      <c r="J16" s="289" t="s">
        <v>192</v>
      </c>
      <c r="K16" s="289">
        <v>1460107125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289">
        <v>1810022508810003</v>
      </c>
      <c r="U16" s="289">
        <v>2</v>
      </c>
      <c r="V16" s="289">
        <v>1</v>
      </c>
      <c r="W16" s="289">
        <v>14</v>
      </c>
      <c r="X16" s="289" t="s">
        <v>325</v>
      </c>
      <c r="Y16" s="289">
        <v>2</v>
      </c>
      <c r="Z16" s="289">
        <v>0</v>
      </c>
      <c r="AA16" s="289">
        <v>0</v>
      </c>
      <c r="AB16" s="289" t="s">
        <v>294</v>
      </c>
      <c r="AC16" s="289">
        <v>1460107125</v>
      </c>
      <c r="AD16" s="289" t="s">
        <v>295</v>
      </c>
      <c r="AE16" s="289">
        <v>65535</v>
      </c>
    </row>
    <row r="17" spans="1:31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289">
        <v>1.9890701202321101E+17</v>
      </c>
      <c r="I17" s="402">
        <v>32515</v>
      </c>
      <c r="J17" s="289" t="s">
        <v>209</v>
      </c>
      <c r="K17" s="289">
        <v>16109000456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289">
        <v>1305070107890023</v>
      </c>
      <c r="U17" s="289">
        <v>2</v>
      </c>
      <c r="V17" s="289">
        <v>2</v>
      </c>
      <c r="W17" s="289">
        <v>2</v>
      </c>
      <c r="X17" s="289" t="s">
        <v>327</v>
      </c>
      <c r="Y17" s="289">
        <v>2</v>
      </c>
      <c r="Z17" s="289">
        <v>0</v>
      </c>
      <c r="AA17" s="289">
        <v>0</v>
      </c>
      <c r="AB17" s="289" t="s">
        <v>294</v>
      </c>
      <c r="AC17" s="289">
        <v>16109000456</v>
      </c>
      <c r="AD17" s="289" t="s">
        <v>295</v>
      </c>
      <c r="AE17" s="289">
        <v>65535</v>
      </c>
    </row>
    <row r="18" spans="1:31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289">
        <v>1.98108182005012E+17</v>
      </c>
      <c r="I18" s="289" t="s">
        <v>400</v>
      </c>
      <c r="J18" s="289" t="s">
        <v>191</v>
      </c>
      <c r="K18" s="289">
        <v>1900900969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289">
        <v>1905045808810002</v>
      </c>
      <c r="U18" s="289">
        <v>2</v>
      </c>
      <c r="V18" s="289">
        <v>1</v>
      </c>
      <c r="W18" s="289">
        <v>20</v>
      </c>
      <c r="X18" s="289" t="s">
        <v>329</v>
      </c>
      <c r="Y18" s="289">
        <v>1</v>
      </c>
      <c r="Z18" s="289">
        <v>1</v>
      </c>
      <c r="AA18" s="289">
        <v>2</v>
      </c>
      <c r="AB18" s="289" t="s">
        <v>294</v>
      </c>
      <c r="AC18" s="289">
        <v>1900900969</v>
      </c>
      <c r="AD18" s="289" t="s">
        <v>295</v>
      </c>
      <c r="AE18" s="289">
        <v>78605</v>
      </c>
    </row>
    <row r="19" spans="1:31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289">
        <v>1.9890929202221101E+17</v>
      </c>
      <c r="I19" s="289" t="s">
        <v>401</v>
      </c>
      <c r="J19" s="289" t="s">
        <v>210</v>
      </c>
      <c r="K19" s="289">
        <v>1610906064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289">
        <v>1904052909890001</v>
      </c>
      <c r="U19" s="289">
        <v>2</v>
      </c>
      <c r="V19" s="289">
        <v>2</v>
      </c>
      <c r="W19" s="289">
        <v>2</v>
      </c>
      <c r="X19" s="289" t="s">
        <v>331</v>
      </c>
      <c r="Y19" s="289">
        <v>1</v>
      </c>
      <c r="Z19" s="289">
        <v>1</v>
      </c>
      <c r="AA19" s="289">
        <v>2</v>
      </c>
      <c r="AB19" s="289" t="s">
        <v>294</v>
      </c>
      <c r="AC19" s="289">
        <v>1610906064</v>
      </c>
      <c r="AD19" s="289" t="s">
        <v>295</v>
      </c>
      <c r="AE19" s="289">
        <v>65535</v>
      </c>
    </row>
    <row r="20" spans="1:31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289">
        <v>1.9950630202421203E+17</v>
      </c>
      <c r="I20" s="289" t="s">
        <v>402</v>
      </c>
      <c r="J20" s="289" t="s">
        <v>216</v>
      </c>
      <c r="K20" s="289">
        <v>16109000347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289">
        <v>1904017006950002</v>
      </c>
      <c r="U20" s="289">
        <v>2</v>
      </c>
      <c r="V20" s="289">
        <v>2</v>
      </c>
      <c r="W20" s="289">
        <v>0</v>
      </c>
      <c r="X20" s="289" t="s">
        <v>333</v>
      </c>
      <c r="Y20" s="289">
        <v>2</v>
      </c>
      <c r="Z20" s="289">
        <v>0</v>
      </c>
      <c r="AA20" s="289">
        <v>0</v>
      </c>
      <c r="AB20" s="289" t="s">
        <v>294</v>
      </c>
      <c r="AC20" s="289">
        <v>16109000347</v>
      </c>
      <c r="AD20" s="289" t="s">
        <v>295</v>
      </c>
      <c r="AE20" s="289">
        <v>65535</v>
      </c>
    </row>
    <row r="21" spans="1:31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289">
        <v>1.98204262010012E+17</v>
      </c>
      <c r="I21" s="289" t="s">
        <v>403</v>
      </c>
      <c r="J21" s="289" t="s">
        <v>195</v>
      </c>
      <c r="K21" s="289">
        <v>1610901678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289">
        <v>1904016604820002</v>
      </c>
      <c r="U21" s="289">
        <v>2</v>
      </c>
      <c r="V21" s="289">
        <v>1</v>
      </c>
      <c r="W21" s="289">
        <v>16</v>
      </c>
      <c r="X21" s="289" t="s">
        <v>335</v>
      </c>
      <c r="Y21" s="289">
        <v>1</v>
      </c>
      <c r="Z21" s="289">
        <v>1</v>
      </c>
      <c r="AA21" s="289">
        <v>0</v>
      </c>
      <c r="AB21" s="289" t="s">
        <v>294</v>
      </c>
      <c r="AC21" s="289">
        <v>1610901678</v>
      </c>
      <c r="AD21" s="289" t="s">
        <v>295</v>
      </c>
      <c r="AE21" s="289">
        <v>73880</v>
      </c>
    </row>
    <row r="22" spans="1:31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289">
        <v>1.9890430201212202E+17</v>
      </c>
      <c r="I22" s="289" t="s">
        <v>404</v>
      </c>
      <c r="J22" s="289" t="s">
        <v>204</v>
      </c>
      <c r="K22" s="289">
        <v>1610904070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289">
        <v>3273027004890002</v>
      </c>
      <c r="U22" s="289">
        <v>2</v>
      </c>
      <c r="V22" s="289">
        <v>1</v>
      </c>
      <c r="W22" s="289">
        <v>12</v>
      </c>
      <c r="X22" s="289" t="s">
        <v>337</v>
      </c>
      <c r="Y22" s="289">
        <v>1</v>
      </c>
      <c r="Z22" s="289">
        <v>1</v>
      </c>
      <c r="AA22" s="289">
        <v>2</v>
      </c>
      <c r="AB22" s="289" t="s">
        <v>294</v>
      </c>
      <c r="AC22" s="289">
        <v>1610904070</v>
      </c>
      <c r="AD22" s="289" t="s">
        <v>295</v>
      </c>
      <c r="AE22" s="289">
        <v>66618</v>
      </c>
    </row>
    <row r="23" spans="1:31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289">
        <v>1.9860627202221203E+17</v>
      </c>
      <c r="I23" s="289" t="s">
        <v>405</v>
      </c>
      <c r="J23" s="289" t="s">
        <v>208</v>
      </c>
      <c r="K23" s="289">
        <v>1820903520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289">
        <v>1905066706860001</v>
      </c>
      <c r="U23" s="289">
        <v>2</v>
      </c>
      <c r="V23" s="289">
        <v>2</v>
      </c>
      <c r="W23" s="289">
        <v>2</v>
      </c>
      <c r="X23" s="289" t="s">
        <v>339</v>
      </c>
      <c r="Y23" s="289">
        <v>2</v>
      </c>
      <c r="Z23" s="289">
        <v>0</v>
      </c>
      <c r="AA23" s="289">
        <v>0</v>
      </c>
      <c r="AB23" s="289" t="s">
        <v>294</v>
      </c>
      <c r="AC23" s="289">
        <v>1820903520</v>
      </c>
      <c r="AD23" s="289" t="s">
        <v>295</v>
      </c>
      <c r="AE23" s="289">
        <v>65535</v>
      </c>
    </row>
    <row r="24" spans="1:31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289">
        <v>1.9820327200804202E+17</v>
      </c>
      <c r="I24" s="289" t="s">
        <v>406</v>
      </c>
      <c r="J24" s="289" t="s">
        <v>194</v>
      </c>
      <c r="K24" s="289">
        <v>1610105795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289">
        <v>1904016703820001</v>
      </c>
      <c r="U24" s="289">
        <v>2</v>
      </c>
      <c r="V24" s="289">
        <v>1</v>
      </c>
      <c r="W24" s="289">
        <v>16</v>
      </c>
      <c r="X24" s="289" t="s">
        <v>341</v>
      </c>
      <c r="Y24" s="289">
        <v>1</v>
      </c>
      <c r="Z24" s="289">
        <v>0</v>
      </c>
      <c r="AA24" s="289">
        <v>0</v>
      </c>
      <c r="AB24" s="289" t="s">
        <v>294</v>
      </c>
      <c r="AC24" s="289">
        <v>1610105795</v>
      </c>
      <c r="AD24" s="289" t="s">
        <v>295</v>
      </c>
      <c r="AE24" s="289">
        <v>76207</v>
      </c>
    </row>
    <row r="25" spans="1:31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289">
        <v>1.96807211999032E+17</v>
      </c>
      <c r="I25" s="289" t="s">
        <v>407</v>
      </c>
      <c r="J25" s="289" t="s">
        <v>183</v>
      </c>
      <c r="K25" s="289">
        <v>1610101008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289">
        <v>1904016107680003</v>
      </c>
      <c r="U25" s="289">
        <v>2</v>
      </c>
      <c r="V25" s="289">
        <v>1</v>
      </c>
      <c r="W25" s="289">
        <v>26</v>
      </c>
      <c r="X25" s="289" t="s">
        <v>343</v>
      </c>
      <c r="Y25" s="289">
        <v>1</v>
      </c>
      <c r="Z25" s="289">
        <v>1</v>
      </c>
      <c r="AA25" s="289">
        <v>1</v>
      </c>
      <c r="AB25" s="289" t="s">
        <v>294</v>
      </c>
      <c r="AC25" s="289">
        <v>1610101008</v>
      </c>
      <c r="AD25" s="289" t="s">
        <v>295</v>
      </c>
      <c r="AE25" s="289">
        <v>86270</v>
      </c>
    </row>
    <row r="26" spans="1:31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289">
        <v>1.9880319201402099E+17</v>
      </c>
      <c r="I26" s="289" t="s">
        <v>408</v>
      </c>
      <c r="J26" s="289" t="s">
        <v>202</v>
      </c>
      <c r="K26" s="289">
        <v>1610905245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289">
        <v>1307041903880001</v>
      </c>
      <c r="U26" s="289">
        <v>2</v>
      </c>
      <c r="V26" s="289">
        <v>1</v>
      </c>
      <c r="W26" s="289">
        <v>10</v>
      </c>
      <c r="X26" s="289" t="s">
        <v>345</v>
      </c>
      <c r="Y26" s="289">
        <v>1</v>
      </c>
      <c r="Z26" s="289">
        <v>1</v>
      </c>
      <c r="AA26" s="289">
        <v>0</v>
      </c>
      <c r="AB26" s="289" t="s">
        <v>294</v>
      </c>
      <c r="AC26" s="289">
        <v>1610905245</v>
      </c>
      <c r="AD26" s="289" t="s">
        <v>295</v>
      </c>
      <c r="AE26" s="289">
        <v>66618</v>
      </c>
    </row>
    <row r="27" spans="1:31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289">
        <v>1.98502272009032E+17</v>
      </c>
      <c r="I27" s="289" t="s">
        <v>409</v>
      </c>
      <c r="J27" s="289" t="s">
        <v>197</v>
      </c>
      <c r="K27" s="289">
        <v>1610104975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289">
        <v>1904016702850001</v>
      </c>
      <c r="U27" s="289">
        <v>2</v>
      </c>
      <c r="V27" s="289">
        <v>1</v>
      </c>
      <c r="W27" s="289">
        <v>16</v>
      </c>
      <c r="X27" s="289" t="s">
        <v>347</v>
      </c>
      <c r="Y27" s="289">
        <v>1</v>
      </c>
      <c r="Z27" s="289">
        <v>1</v>
      </c>
      <c r="AA27" s="289">
        <v>2</v>
      </c>
      <c r="AB27" s="289" t="s">
        <v>294</v>
      </c>
      <c r="AC27" s="289">
        <v>1610104975</v>
      </c>
      <c r="AD27" s="289" t="s">
        <v>295</v>
      </c>
      <c r="AE27" s="289">
        <v>73880</v>
      </c>
    </row>
    <row r="28" spans="1:31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289">
        <v>1.9790706200604202E+17</v>
      </c>
      <c r="I28" s="402">
        <v>29013</v>
      </c>
      <c r="J28" s="289" t="s">
        <v>188</v>
      </c>
      <c r="K28" s="289">
        <v>1610103820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289">
        <v>1971014607790003</v>
      </c>
      <c r="U28" s="289">
        <v>3</v>
      </c>
      <c r="V28" s="289">
        <v>1</v>
      </c>
      <c r="W28" s="289">
        <v>16</v>
      </c>
      <c r="X28" s="289" t="s">
        <v>349</v>
      </c>
      <c r="Y28" s="289">
        <v>1</v>
      </c>
      <c r="Z28" s="289">
        <v>1</v>
      </c>
      <c r="AA28" s="289">
        <v>1</v>
      </c>
      <c r="AB28" s="289" t="s">
        <v>294</v>
      </c>
      <c r="AC28" s="289">
        <v>1610103820</v>
      </c>
      <c r="AD28" s="289" t="s">
        <v>295</v>
      </c>
      <c r="AE28" s="289">
        <v>65535</v>
      </c>
    </row>
    <row r="29" spans="1:31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289">
        <v>1.97605072024212E+17</v>
      </c>
      <c r="I29" s="402">
        <v>27946</v>
      </c>
      <c r="J29" s="289" t="s">
        <v>207</v>
      </c>
      <c r="K29" s="289">
        <v>1610907514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289">
        <v>1904014705760002</v>
      </c>
      <c r="U29" s="289">
        <v>2</v>
      </c>
      <c r="V29" s="289">
        <v>2</v>
      </c>
      <c r="W29" s="289">
        <v>0</v>
      </c>
      <c r="X29" s="289" t="s">
        <v>351</v>
      </c>
      <c r="Y29" s="289">
        <v>1</v>
      </c>
      <c r="Z29" s="289">
        <v>1</v>
      </c>
      <c r="AA29" s="289">
        <v>2</v>
      </c>
      <c r="AB29" s="289" t="s">
        <v>294</v>
      </c>
      <c r="AC29" s="289">
        <v>1610907514</v>
      </c>
      <c r="AD29" s="289" t="s">
        <v>295</v>
      </c>
      <c r="AE29" s="289">
        <v>65535</v>
      </c>
    </row>
    <row r="30" spans="1:31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289">
        <v>1.9991112202421101E+17</v>
      </c>
      <c r="I30" s="402">
        <v>36505</v>
      </c>
      <c r="J30" s="289" t="s">
        <v>219</v>
      </c>
      <c r="K30" s="289">
        <v>1440966655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289">
        <v>1610081211990002</v>
      </c>
      <c r="U30" s="289">
        <v>2</v>
      </c>
      <c r="V30" s="289">
        <v>2</v>
      </c>
      <c r="W30" s="289">
        <v>0</v>
      </c>
      <c r="X30" s="289" t="s">
        <v>353</v>
      </c>
      <c r="Y30" s="289">
        <v>2</v>
      </c>
      <c r="Z30" s="289">
        <v>0</v>
      </c>
      <c r="AA30" s="289">
        <v>0</v>
      </c>
      <c r="AB30" s="289" t="s">
        <v>294</v>
      </c>
      <c r="AC30" s="289">
        <v>1440966655</v>
      </c>
      <c r="AD30" s="289" t="s">
        <v>295</v>
      </c>
      <c r="AE30" s="289">
        <v>65535</v>
      </c>
    </row>
    <row r="31" spans="1:31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289">
        <v>1.98611132010012E+17</v>
      </c>
      <c r="I31" s="289" t="s">
        <v>410</v>
      </c>
      <c r="J31" s="289" t="s">
        <v>200</v>
      </c>
      <c r="K31" s="289">
        <v>1610904107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289">
        <v>1971015311860002</v>
      </c>
      <c r="U31" s="289">
        <v>2</v>
      </c>
      <c r="V31" s="289">
        <v>1</v>
      </c>
      <c r="W31" s="289">
        <v>16</v>
      </c>
      <c r="X31" s="289" t="s">
        <v>355</v>
      </c>
      <c r="Y31" s="289">
        <v>1</v>
      </c>
      <c r="Z31" s="289">
        <v>1</v>
      </c>
      <c r="AA31" s="289">
        <v>2</v>
      </c>
      <c r="AB31" s="289" t="s">
        <v>294</v>
      </c>
      <c r="AC31" s="289">
        <v>1610106127</v>
      </c>
      <c r="AD31" s="289" t="s">
        <v>295</v>
      </c>
      <c r="AE31" s="289">
        <v>73880</v>
      </c>
    </row>
    <row r="32" spans="1:31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289">
        <v>1.97902192010012E+17</v>
      </c>
      <c r="I32" s="289" t="s">
        <v>411</v>
      </c>
      <c r="J32" s="289" t="s">
        <v>187</v>
      </c>
      <c r="K32" s="289">
        <v>1610100879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289">
        <v>1904015902790002</v>
      </c>
      <c r="U32" s="289">
        <v>2</v>
      </c>
      <c r="V32" s="289">
        <v>1</v>
      </c>
      <c r="W32" s="289">
        <v>16</v>
      </c>
      <c r="X32" s="289" t="s">
        <v>357</v>
      </c>
      <c r="Y32" s="289">
        <v>1</v>
      </c>
      <c r="Z32" s="289">
        <v>1</v>
      </c>
      <c r="AA32" s="289">
        <v>2</v>
      </c>
      <c r="AB32" s="289" t="s">
        <v>294</v>
      </c>
      <c r="AC32" s="289">
        <v>1610100879</v>
      </c>
      <c r="AD32" s="289" t="s">
        <v>295</v>
      </c>
      <c r="AE32" s="289">
        <v>73880</v>
      </c>
    </row>
    <row r="33" spans="1:31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289">
        <v>1.9900502202421203E+17</v>
      </c>
      <c r="I33" s="402">
        <v>32909</v>
      </c>
      <c r="J33" s="289" t="s">
        <v>211</v>
      </c>
      <c r="K33" s="289">
        <v>1610108232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289">
        <v>1904014205900002</v>
      </c>
      <c r="U33" s="289">
        <v>2</v>
      </c>
      <c r="V33" s="289">
        <v>2</v>
      </c>
      <c r="W33" s="289">
        <v>0</v>
      </c>
      <c r="X33" s="289" t="s">
        <v>359</v>
      </c>
      <c r="Y33" s="289">
        <v>1</v>
      </c>
      <c r="Z33" s="289">
        <v>0</v>
      </c>
      <c r="AA33" s="289">
        <v>0</v>
      </c>
      <c r="AB33" s="289" t="s">
        <v>294</v>
      </c>
      <c r="AC33" s="289">
        <v>1610108232</v>
      </c>
      <c r="AD33" s="289" t="s">
        <v>295</v>
      </c>
      <c r="AE33" s="289">
        <v>65535</v>
      </c>
    </row>
    <row r="34" spans="1:31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289">
        <v>1.9920718202321101E+17</v>
      </c>
      <c r="I34" s="289" t="s">
        <v>412</v>
      </c>
      <c r="J34" s="289" t="s">
        <v>213</v>
      </c>
      <c r="K34" s="289">
        <v>16109012260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289">
        <v>1904010107920063</v>
      </c>
      <c r="U34" s="289">
        <v>2</v>
      </c>
      <c r="V34" s="289">
        <v>2</v>
      </c>
      <c r="W34" s="289">
        <v>2</v>
      </c>
      <c r="X34" s="289" t="s">
        <v>361</v>
      </c>
      <c r="Y34" s="289">
        <v>1</v>
      </c>
      <c r="Z34" s="289">
        <v>0</v>
      </c>
      <c r="AA34" s="289">
        <v>0</v>
      </c>
      <c r="AB34" s="289" t="s">
        <v>294</v>
      </c>
      <c r="AC34" s="289">
        <v>16109012260</v>
      </c>
      <c r="AD34" s="289" t="s">
        <v>295</v>
      </c>
      <c r="AE34" s="289">
        <v>65535</v>
      </c>
    </row>
    <row r="35" spans="1:31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289">
        <v>1.9760831200604099E+17</v>
      </c>
      <c r="I35" s="289" t="s">
        <v>413</v>
      </c>
      <c r="J35" s="289" t="s">
        <v>235</v>
      </c>
      <c r="K35" s="289">
        <v>1610104362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289">
        <v>1904013108760002</v>
      </c>
      <c r="U35" s="289">
        <v>2</v>
      </c>
      <c r="V35" s="289">
        <v>1</v>
      </c>
      <c r="W35" s="289">
        <v>20</v>
      </c>
      <c r="X35" s="289" t="s">
        <v>363</v>
      </c>
      <c r="Y35" s="289">
        <v>1</v>
      </c>
      <c r="Z35" s="289">
        <v>1</v>
      </c>
      <c r="AA35" s="289">
        <v>1</v>
      </c>
      <c r="AB35" s="289" t="s">
        <v>294</v>
      </c>
      <c r="AC35" s="289">
        <v>1610104362</v>
      </c>
      <c r="AD35" s="289" t="s">
        <v>295</v>
      </c>
      <c r="AE35" s="289">
        <v>81081</v>
      </c>
    </row>
    <row r="36" spans="1:31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289">
        <v>1.99412232022212E+17</v>
      </c>
      <c r="I36" s="289" t="s">
        <v>414</v>
      </c>
      <c r="J36" s="289" t="s">
        <v>215</v>
      </c>
      <c r="K36" s="289">
        <v>1610906183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289">
        <v>1904012312940001</v>
      </c>
      <c r="U36" s="289">
        <v>2</v>
      </c>
      <c r="V36" s="289">
        <v>2</v>
      </c>
      <c r="W36" s="289">
        <v>2</v>
      </c>
      <c r="X36" s="289" t="s">
        <v>365</v>
      </c>
      <c r="Y36" s="289">
        <v>1</v>
      </c>
      <c r="Z36" s="289">
        <v>1</v>
      </c>
      <c r="AA36" s="289">
        <v>1</v>
      </c>
      <c r="AB36" s="289" t="s">
        <v>294</v>
      </c>
      <c r="AC36" s="289">
        <v>1610906183</v>
      </c>
      <c r="AD36" s="289" t="s">
        <v>295</v>
      </c>
      <c r="AE36" s="289">
        <v>65535</v>
      </c>
    </row>
    <row r="37" spans="1:31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289">
        <v>1.99904082024212E+17</v>
      </c>
      <c r="I37" s="402">
        <v>36376</v>
      </c>
      <c r="J37" s="289" t="s">
        <v>217</v>
      </c>
      <c r="K37" s="289">
        <v>1440966659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289">
        <v>1971044804990001</v>
      </c>
      <c r="U37" s="289">
        <v>2</v>
      </c>
      <c r="V37" s="289">
        <v>2</v>
      </c>
      <c r="W37" s="289">
        <v>0</v>
      </c>
      <c r="X37" s="289" t="s">
        <v>367</v>
      </c>
      <c r="Y37" s="289">
        <v>2</v>
      </c>
      <c r="Z37" s="289">
        <v>0</v>
      </c>
      <c r="AA37" s="289">
        <v>0</v>
      </c>
      <c r="AB37" s="289" t="s">
        <v>294</v>
      </c>
      <c r="AC37" s="289">
        <v>1440966659</v>
      </c>
      <c r="AD37" s="289" t="s">
        <v>295</v>
      </c>
      <c r="AE37" s="289">
        <v>65535</v>
      </c>
    </row>
    <row r="38" spans="1:31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289">
        <v>1.98112102009032E+17</v>
      </c>
      <c r="I38" s="402">
        <v>29871</v>
      </c>
      <c r="J38" s="289" t="s">
        <v>193</v>
      </c>
      <c r="K38" s="289">
        <v>1610104840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289">
        <v>1904015012810003</v>
      </c>
      <c r="U38" s="289">
        <v>2</v>
      </c>
      <c r="V38" s="289">
        <v>1</v>
      </c>
      <c r="W38" s="289">
        <v>16</v>
      </c>
      <c r="X38" s="289" t="s">
        <v>369</v>
      </c>
      <c r="Y38" s="289">
        <v>1</v>
      </c>
      <c r="Z38" s="289">
        <v>1</v>
      </c>
      <c r="AA38" s="289">
        <v>2</v>
      </c>
      <c r="AB38" s="289" t="s">
        <v>294</v>
      </c>
      <c r="AC38" s="289">
        <v>1610104840</v>
      </c>
      <c r="AD38" s="289" t="s">
        <v>295</v>
      </c>
      <c r="AE38" s="289">
        <v>70881</v>
      </c>
    </row>
    <row r="39" spans="1:31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289">
        <v>1.99108102022212E+17</v>
      </c>
      <c r="I39" s="402">
        <v>33519</v>
      </c>
      <c r="J39" s="289" t="s">
        <v>212</v>
      </c>
      <c r="K39" s="289">
        <v>1440924881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289">
        <v>1904015008910002</v>
      </c>
      <c r="U39" s="289">
        <v>2</v>
      </c>
      <c r="V39" s="289">
        <v>2</v>
      </c>
      <c r="W39" s="289">
        <v>2</v>
      </c>
      <c r="X39" s="289" t="s">
        <v>371</v>
      </c>
      <c r="Y39" s="289">
        <v>1</v>
      </c>
      <c r="Z39" s="289">
        <v>1</v>
      </c>
      <c r="AA39" s="289">
        <v>1</v>
      </c>
      <c r="AB39" s="289" t="s">
        <v>294</v>
      </c>
      <c r="AC39" s="289">
        <v>1440924881</v>
      </c>
      <c r="AD39" s="289" t="s">
        <v>295</v>
      </c>
      <c r="AE39" s="289">
        <v>65535</v>
      </c>
    </row>
    <row r="40" spans="1:31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289">
        <v>1.9770826200604099E+17</v>
      </c>
      <c r="I40" s="289" t="s">
        <v>415</v>
      </c>
      <c r="J40" s="289" t="s">
        <v>236</v>
      </c>
      <c r="K40" s="289">
        <v>1610102485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289">
        <v>1901032608770001</v>
      </c>
      <c r="U40" s="289">
        <v>2</v>
      </c>
      <c r="V40" s="289">
        <v>1</v>
      </c>
      <c r="W40" s="289">
        <v>19</v>
      </c>
      <c r="X40" s="289" t="s">
        <v>374</v>
      </c>
      <c r="Y40" s="289">
        <v>1</v>
      </c>
      <c r="Z40" s="289">
        <v>1</v>
      </c>
      <c r="AA40" s="289">
        <v>2</v>
      </c>
      <c r="AB40" s="289" t="s">
        <v>294</v>
      </c>
      <c r="AC40" s="289">
        <v>1610102485</v>
      </c>
      <c r="AD40" s="289" t="s">
        <v>295</v>
      </c>
      <c r="AE40" s="289">
        <v>78605</v>
      </c>
    </row>
    <row r="41" spans="1:31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289">
        <v>1.97009032009032E+17</v>
      </c>
      <c r="I41" s="402">
        <v>25636</v>
      </c>
      <c r="J41" s="289" t="s">
        <v>184</v>
      </c>
      <c r="K41" s="289">
        <v>1610100141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289">
        <v>1904014309700001</v>
      </c>
      <c r="U41" s="289">
        <v>2</v>
      </c>
      <c r="V41" s="289">
        <v>1</v>
      </c>
      <c r="W41" s="289">
        <v>22</v>
      </c>
      <c r="X41" s="289" t="s">
        <v>376</v>
      </c>
      <c r="Y41" s="289">
        <v>1</v>
      </c>
      <c r="Z41" s="289">
        <v>1</v>
      </c>
      <c r="AA41" s="289">
        <v>0</v>
      </c>
      <c r="AB41" s="289" t="s">
        <v>294</v>
      </c>
      <c r="AC41" s="289">
        <v>1610100141</v>
      </c>
      <c r="AD41" s="289" t="s">
        <v>295</v>
      </c>
      <c r="AE41" s="289">
        <v>65535</v>
      </c>
    </row>
    <row r="42" spans="1:31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289">
        <v>1.9750504201001101E+17</v>
      </c>
      <c r="I42" s="402">
        <v>27489</v>
      </c>
      <c r="J42" s="289" t="s">
        <v>186</v>
      </c>
      <c r="K42" s="289">
        <v>1610901665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289">
        <v>1904010405750003</v>
      </c>
      <c r="U42" s="289">
        <v>2</v>
      </c>
      <c r="V42" s="289">
        <v>1</v>
      </c>
      <c r="W42" s="289">
        <v>16</v>
      </c>
      <c r="X42" s="289" t="s">
        <v>378</v>
      </c>
      <c r="Y42" s="289">
        <v>1</v>
      </c>
      <c r="Z42" s="289">
        <v>1</v>
      </c>
      <c r="AA42" s="289">
        <v>2</v>
      </c>
      <c r="AB42" s="289" t="s">
        <v>294</v>
      </c>
      <c r="AC42" s="289">
        <v>1610901665</v>
      </c>
      <c r="AD42" s="289" t="s">
        <v>295</v>
      </c>
      <c r="AE42" s="289">
        <v>73880</v>
      </c>
    </row>
    <row r="43" spans="1:31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289">
        <v>1.98008292009032E+17</v>
      </c>
      <c r="I43" s="289" t="s">
        <v>416</v>
      </c>
      <c r="J43" s="289" t="s">
        <v>189</v>
      </c>
      <c r="K43" s="289">
        <v>1610104837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289">
        <v>1971054608800003</v>
      </c>
      <c r="U43" s="289">
        <v>2</v>
      </c>
      <c r="V43" s="289">
        <v>1</v>
      </c>
      <c r="W43" s="289">
        <v>16</v>
      </c>
      <c r="X43" s="289" t="s">
        <v>380</v>
      </c>
      <c r="Y43" s="289">
        <v>1</v>
      </c>
      <c r="Z43" s="289">
        <v>1</v>
      </c>
      <c r="AA43" s="289">
        <v>2</v>
      </c>
      <c r="AB43" s="289" t="s">
        <v>294</v>
      </c>
      <c r="AC43" s="289">
        <v>1610104837</v>
      </c>
      <c r="AD43" s="289" t="s">
        <v>295</v>
      </c>
      <c r="AE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89" t="s">
        <v>241</v>
      </c>
      <c r="B4" s="394" t="s">
        <v>6</v>
      </c>
      <c r="C4" s="389" t="s">
        <v>5</v>
      </c>
      <c r="D4" s="387" t="s">
        <v>259</v>
      </c>
      <c r="E4" s="387" t="s">
        <v>260</v>
      </c>
      <c r="F4" s="389" t="s">
        <v>242</v>
      </c>
      <c r="G4" s="396" t="s">
        <v>243</v>
      </c>
      <c r="H4" s="397"/>
      <c r="I4" s="397"/>
      <c r="J4" s="397"/>
      <c r="K4" s="397"/>
      <c r="L4" s="397"/>
      <c r="M4" s="397"/>
      <c r="N4" s="397"/>
      <c r="O4" s="397"/>
      <c r="P4" s="398"/>
      <c r="Q4" s="399" t="s">
        <v>244</v>
      </c>
      <c r="R4" s="389" t="s">
        <v>245</v>
      </c>
      <c r="S4" s="399" t="s">
        <v>262</v>
      </c>
      <c r="T4" s="399" t="s">
        <v>246</v>
      </c>
    </row>
    <row r="5" spans="1:20" ht="29" x14ac:dyDescent="0.35">
      <c r="A5" s="390"/>
      <c r="B5" s="395"/>
      <c r="C5" s="390"/>
      <c r="D5" s="388"/>
      <c r="E5" s="388"/>
      <c r="F5" s="390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400"/>
      <c r="R5" s="390"/>
      <c r="S5" s="390"/>
      <c r="T5" s="401"/>
    </row>
    <row r="6" spans="1:20" s="311" customFormat="1" ht="13" x14ac:dyDescent="0.3">
      <c r="A6" s="313">
        <v>1</v>
      </c>
      <c r="B6" s="314" t="str">
        <f>bpjs!C9</f>
        <v>NIP tidak ditemukan</v>
      </c>
      <c r="C6" s="339" t="str">
        <f>bank!C8</f>
        <v>ALFIKRI</v>
      </c>
      <c r="D6" s="316" t="e">
        <f>G6*5</f>
        <v>#VALUE!</v>
      </c>
      <c r="E6" s="316" t="e">
        <f>D6</f>
        <v>#VALUE!</v>
      </c>
      <c r="F6" s="316" t="e">
        <f>D6+E6</f>
        <v>#VALUE!</v>
      </c>
      <c r="G6" s="317" t="str">
        <f>bank!H8</f>
        <v>NIP tidak ditemukan</v>
      </c>
      <c r="H6" s="317" t="str">
        <f>G6</f>
        <v>NIP tidak ditemukan</v>
      </c>
      <c r="I6" s="317" t="str">
        <f t="shared" ref="I6:L6" si="0">H6</f>
        <v>NIP tidak ditemukan</v>
      </c>
      <c r="J6" s="317" t="str">
        <f t="shared" si="0"/>
        <v>NIP tidak ditemukan</v>
      </c>
      <c r="K6" s="317" t="str">
        <f t="shared" si="0"/>
        <v>NIP tidak ditemukan</v>
      </c>
      <c r="L6" s="317" t="str">
        <f t="shared" si="0"/>
        <v>NIP tidak ditemukan</v>
      </c>
      <c r="M6" s="318"/>
      <c r="N6" s="318"/>
      <c r="O6" s="318"/>
      <c r="P6" s="318"/>
      <c r="Q6" s="317" t="e">
        <f>F6-SUM(G6:P6)</f>
        <v>#VALUE!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NIP tidak ditemukan</v>
      </c>
      <c r="C7" s="340" t="str">
        <f>bank!C9</f>
        <v>ALIANGGA KUSUMA</v>
      </c>
      <c r="D7" s="324" t="e">
        <f t="shared" ref="D7:D32" si="1">G7*5</f>
        <v>#VALUE!</v>
      </c>
      <c r="E7" s="324" t="e">
        <f t="shared" ref="E7:E32" si="2">D7</f>
        <v>#VALUE!</v>
      </c>
      <c r="F7" s="324" t="e">
        <f t="shared" ref="F7:F32" si="3">D7+E7</f>
        <v>#VALUE!</v>
      </c>
      <c r="G7" s="325" t="str">
        <f>bank!H9</f>
        <v>NIP tidak ditemukan</v>
      </c>
      <c r="H7" s="325" t="str">
        <f t="shared" ref="H7:L7" si="4">G7</f>
        <v>NIP tidak ditemukan</v>
      </c>
      <c r="I7" s="325" t="str">
        <f t="shared" si="4"/>
        <v>NIP tidak ditemukan</v>
      </c>
      <c r="J7" s="325" t="str">
        <f t="shared" si="4"/>
        <v>NIP tidak ditemukan</v>
      </c>
      <c r="K7" s="325" t="str">
        <f t="shared" si="4"/>
        <v>NIP tidak ditemukan</v>
      </c>
      <c r="L7" s="325" t="str">
        <f t="shared" si="4"/>
        <v>NIP tidak ditemukan</v>
      </c>
      <c r="M7" s="326"/>
      <c r="N7" s="326"/>
      <c r="O7" s="326"/>
      <c r="P7" s="326"/>
      <c r="Q7" s="325" t="e">
        <f t="shared" ref="Q7:Q32" si="5">F7-SUM(G7:P7)</f>
        <v>#VALUE!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NIP tidak ditemukan</v>
      </c>
      <c r="C8" s="340" t="str">
        <f>bank!C10</f>
        <v>DEBY SILVIA</v>
      </c>
      <c r="D8" s="324" t="e">
        <f t="shared" si="1"/>
        <v>#VALUE!</v>
      </c>
      <c r="E8" s="324" t="e">
        <f t="shared" si="2"/>
        <v>#VALUE!</v>
      </c>
      <c r="F8" s="324" t="e">
        <f t="shared" si="3"/>
        <v>#VALUE!</v>
      </c>
      <c r="G8" s="325" t="str">
        <f>bank!H10</f>
        <v>NIP tidak ditemukan</v>
      </c>
      <c r="H8" s="325" t="str">
        <f t="shared" ref="H8:L8" si="6">G8</f>
        <v>NIP tidak ditemukan</v>
      </c>
      <c r="I8" s="325" t="str">
        <f t="shared" si="6"/>
        <v>NIP tidak ditemukan</v>
      </c>
      <c r="J8" s="325" t="str">
        <f t="shared" si="6"/>
        <v>NIP tidak ditemukan</v>
      </c>
      <c r="K8" s="325" t="str">
        <f t="shared" si="6"/>
        <v>NIP tidak ditemukan</v>
      </c>
      <c r="L8" s="325" t="str">
        <f t="shared" si="6"/>
        <v>NIP tidak ditemukan</v>
      </c>
      <c r="M8" s="326"/>
      <c r="N8" s="326"/>
      <c r="O8" s="326"/>
      <c r="P8" s="326"/>
      <c r="Q8" s="325" t="e">
        <f t="shared" si="5"/>
        <v>#VALUE!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NIP tidak ditemukan</v>
      </c>
      <c r="C9" s="340" t="str">
        <f>bank!C11</f>
        <v>ERIS PRIYANA</v>
      </c>
      <c r="D9" s="324" t="e">
        <f t="shared" si="1"/>
        <v>#VALUE!</v>
      </c>
      <c r="E9" s="324" t="e">
        <f t="shared" si="2"/>
        <v>#VALUE!</v>
      </c>
      <c r="F9" s="324" t="e">
        <f t="shared" si="3"/>
        <v>#VALUE!</v>
      </c>
      <c r="G9" s="325" t="str">
        <f>bank!H11</f>
        <v>NIP tidak ditemukan</v>
      </c>
      <c r="H9" s="325" t="str">
        <f t="shared" ref="H9:L9" si="7">G9</f>
        <v>NIP tidak ditemukan</v>
      </c>
      <c r="I9" s="325" t="str">
        <f t="shared" si="7"/>
        <v>NIP tidak ditemukan</v>
      </c>
      <c r="J9" s="325" t="str">
        <f t="shared" si="7"/>
        <v>NIP tidak ditemukan</v>
      </c>
      <c r="K9" s="325" t="str">
        <f t="shared" si="7"/>
        <v>NIP tidak ditemukan</v>
      </c>
      <c r="L9" s="325" t="str">
        <f t="shared" si="7"/>
        <v>NIP tidak ditemukan</v>
      </c>
      <c r="M9" s="326"/>
      <c r="N9" s="326"/>
      <c r="O9" s="326"/>
      <c r="P9" s="326"/>
      <c r="Q9" s="325" t="e">
        <f t="shared" si="5"/>
        <v>#VALUE!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NIP tidak ditemukan</v>
      </c>
      <c r="C10" s="340" t="str">
        <f>bank!C12</f>
        <v>ERNAWATI</v>
      </c>
      <c r="D10" s="324" t="e">
        <f t="shared" si="1"/>
        <v>#VALUE!</v>
      </c>
      <c r="E10" s="324" t="e">
        <f t="shared" si="2"/>
        <v>#VALUE!</v>
      </c>
      <c r="F10" s="324" t="e">
        <f t="shared" si="3"/>
        <v>#VALUE!</v>
      </c>
      <c r="G10" s="325" t="str">
        <f>bank!H12</f>
        <v>NIP tidak ditemukan</v>
      </c>
      <c r="H10" s="325" t="str">
        <f t="shared" ref="H10:L10" si="8">G10</f>
        <v>NIP tidak ditemukan</v>
      </c>
      <c r="I10" s="325" t="str">
        <f t="shared" si="8"/>
        <v>NIP tidak ditemukan</v>
      </c>
      <c r="J10" s="325" t="str">
        <f t="shared" si="8"/>
        <v>NIP tidak ditemukan</v>
      </c>
      <c r="K10" s="325" t="str">
        <f t="shared" si="8"/>
        <v>NIP tidak ditemukan</v>
      </c>
      <c r="L10" s="325" t="str">
        <f t="shared" si="8"/>
        <v>NIP tidak ditemukan</v>
      </c>
      <c r="M10" s="326"/>
      <c r="N10" s="326"/>
      <c r="O10" s="326"/>
      <c r="P10" s="326"/>
      <c r="Q10" s="325" t="e">
        <f t="shared" si="5"/>
        <v>#VALUE!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NIP tidak ditemukan</v>
      </c>
      <c r="C11" s="340" t="str">
        <f>bank!C13</f>
        <v>FANSURI SEPTIAWAN</v>
      </c>
      <c r="D11" s="324" t="e">
        <f t="shared" si="1"/>
        <v>#VALUE!</v>
      </c>
      <c r="E11" s="324" t="e">
        <f t="shared" si="2"/>
        <v>#VALUE!</v>
      </c>
      <c r="F11" s="324" t="e">
        <f t="shared" si="3"/>
        <v>#VALUE!</v>
      </c>
      <c r="G11" s="325" t="str">
        <f>bank!H13</f>
        <v>NIP tidak ditemukan</v>
      </c>
      <c r="H11" s="325" t="str">
        <f t="shared" ref="H11:L11" si="9">G11</f>
        <v>NIP tidak ditemukan</v>
      </c>
      <c r="I11" s="325" t="str">
        <f t="shared" si="9"/>
        <v>NIP tidak ditemukan</v>
      </c>
      <c r="J11" s="325" t="str">
        <f t="shared" si="9"/>
        <v>NIP tidak ditemukan</v>
      </c>
      <c r="K11" s="325" t="str">
        <f t="shared" si="9"/>
        <v>NIP tidak ditemukan</v>
      </c>
      <c r="L11" s="325" t="str">
        <f t="shared" si="9"/>
        <v>NIP tidak ditemukan</v>
      </c>
      <c r="M11" s="326"/>
      <c r="N11" s="326"/>
      <c r="O11" s="326"/>
      <c r="P11" s="326"/>
      <c r="Q11" s="325" t="e">
        <f t="shared" si="5"/>
        <v>#VALUE!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NIP tidak ditemukan</v>
      </c>
      <c r="C12" s="340" t="str">
        <f>bank!C14</f>
        <v>FENDI BOY PARNINGOTANSITOMPUL</v>
      </c>
      <c r="D12" s="324" t="e">
        <f t="shared" si="1"/>
        <v>#VALUE!</v>
      </c>
      <c r="E12" s="324" t="e">
        <f t="shared" si="2"/>
        <v>#VALUE!</v>
      </c>
      <c r="F12" s="324" t="e">
        <f t="shared" si="3"/>
        <v>#VALUE!</v>
      </c>
      <c r="G12" s="325" t="str">
        <f>bank!H14</f>
        <v>NIP tidak ditemukan</v>
      </c>
      <c r="H12" s="325" t="str">
        <f t="shared" ref="H12:L12" si="10">G12</f>
        <v>NIP tidak ditemukan</v>
      </c>
      <c r="I12" s="325" t="str">
        <f t="shared" si="10"/>
        <v>NIP tidak ditemukan</v>
      </c>
      <c r="J12" s="325" t="str">
        <f t="shared" si="10"/>
        <v>NIP tidak ditemukan</v>
      </c>
      <c r="K12" s="325" t="str">
        <f t="shared" si="10"/>
        <v>NIP tidak ditemukan</v>
      </c>
      <c r="L12" s="325" t="str">
        <f t="shared" si="10"/>
        <v>NIP tidak ditemukan</v>
      </c>
      <c r="M12" s="326"/>
      <c r="N12" s="326"/>
      <c r="O12" s="326"/>
      <c r="P12" s="326"/>
      <c r="Q12" s="325" t="e">
        <f t="shared" si="5"/>
        <v>#VALUE!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NIP tidak ditemukan</v>
      </c>
      <c r="C13" s="340" t="str">
        <f>bank!C15</f>
        <v>FITRIA NILAM SYARI</v>
      </c>
      <c r="D13" s="324" t="e">
        <f t="shared" si="1"/>
        <v>#VALUE!</v>
      </c>
      <c r="E13" s="324" t="e">
        <f t="shared" si="2"/>
        <v>#VALUE!</v>
      </c>
      <c r="F13" s="324" t="e">
        <f t="shared" si="3"/>
        <v>#VALUE!</v>
      </c>
      <c r="G13" s="325" t="str">
        <f>bank!H15</f>
        <v>NIP tidak ditemukan</v>
      </c>
      <c r="H13" s="325" t="str">
        <f t="shared" ref="H13:L13" si="11">G13</f>
        <v>NIP tidak ditemukan</v>
      </c>
      <c r="I13" s="325" t="str">
        <f t="shared" si="11"/>
        <v>NIP tidak ditemukan</v>
      </c>
      <c r="J13" s="325" t="str">
        <f t="shared" si="11"/>
        <v>NIP tidak ditemukan</v>
      </c>
      <c r="K13" s="325" t="str">
        <f t="shared" si="11"/>
        <v>NIP tidak ditemukan</v>
      </c>
      <c r="L13" s="325" t="str">
        <f t="shared" si="11"/>
        <v>NIP tidak ditemukan</v>
      </c>
      <c r="M13" s="326"/>
      <c r="N13" s="326"/>
      <c r="O13" s="326"/>
      <c r="P13" s="326"/>
      <c r="Q13" s="325" t="e">
        <f t="shared" si="5"/>
        <v>#VALUE!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NIP tidak ditemukan</v>
      </c>
      <c r="C14" s="340" t="str">
        <f>bank!C16</f>
        <v>HADI PURWANTO</v>
      </c>
      <c r="D14" s="324" t="e">
        <f t="shared" si="1"/>
        <v>#VALUE!</v>
      </c>
      <c r="E14" s="324" t="e">
        <f t="shared" si="2"/>
        <v>#VALUE!</v>
      </c>
      <c r="F14" s="324" t="e">
        <f t="shared" si="3"/>
        <v>#VALUE!</v>
      </c>
      <c r="G14" s="325" t="str">
        <f>bank!H16</f>
        <v>NIP tidak ditemukan</v>
      </c>
      <c r="H14" s="325" t="str">
        <f t="shared" ref="H14:L14" si="12">G14</f>
        <v>NIP tidak ditemukan</v>
      </c>
      <c r="I14" s="325" t="str">
        <f t="shared" si="12"/>
        <v>NIP tidak ditemukan</v>
      </c>
      <c r="J14" s="325" t="str">
        <f t="shared" si="12"/>
        <v>NIP tidak ditemukan</v>
      </c>
      <c r="K14" s="325" t="str">
        <f t="shared" si="12"/>
        <v>NIP tidak ditemukan</v>
      </c>
      <c r="L14" s="325" t="str">
        <f t="shared" si="12"/>
        <v>NIP tidak ditemukan</v>
      </c>
      <c r="M14" s="326"/>
      <c r="N14" s="326"/>
      <c r="O14" s="326"/>
      <c r="P14" s="326"/>
      <c r="Q14" s="325" t="e">
        <f t="shared" si="5"/>
        <v>#VALUE!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NIP tidak ditemukan</v>
      </c>
      <c r="C15" s="340" t="str">
        <f>bank!C17</f>
        <v>HENDRI</v>
      </c>
      <c r="D15" s="324" t="e">
        <f t="shared" si="1"/>
        <v>#VALUE!</v>
      </c>
      <c r="E15" s="324" t="e">
        <f t="shared" si="2"/>
        <v>#VALUE!</v>
      </c>
      <c r="F15" s="324" t="e">
        <f t="shared" si="3"/>
        <v>#VALUE!</v>
      </c>
      <c r="G15" s="325" t="str">
        <f>bank!H17</f>
        <v>NIP tidak ditemukan</v>
      </c>
      <c r="H15" s="325" t="str">
        <f t="shared" ref="H15:L15" si="13">G15</f>
        <v>NIP tidak ditemukan</v>
      </c>
      <c r="I15" s="325" t="str">
        <f t="shared" si="13"/>
        <v>NIP tidak ditemukan</v>
      </c>
      <c r="J15" s="325" t="str">
        <f t="shared" si="13"/>
        <v>NIP tidak ditemukan</v>
      </c>
      <c r="K15" s="325" t="str">
        <f t="shared" si="13"/>
        <v>NIP tidak ditemukan</v>
      </c>
      <c r="L15" s="325" t="str">
        <f t="shared" si="13"/>
        <v>NIP tidak ditemukan</v>
      </c>
      <c r="M15" s="326"/>
      <c r="N15" s="326"/>
      <c r="O15" s="326"/>
      <c r="P15" s="326"/>
      <c r="Q15" s="325" t="e">
        <f t="shared" si="5"/>
        <v>#VALUE!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NIP tidak ditemukan</v>
      </c>
      <c r="C16" s="340" t="str">
        <f>bank!C18</f>
        <v>IFHAN FUADI</v>
      </c>
      <c r="D16" s="324" t="e">
        <f t="shared" si="1"/>
        <v>#VALUE!</v>
      </c>
      <c r="E16" s="324" t="e">
        <f t="shared" si="2"/>
        <v>#VALUE!</v>
      </c>
      <c r="F16" s="324" t="e">
        <f t="shared" si="3"/>
        <v>#VALUE!</v>
      </c>
      <c r="G16" s="325" t="str">
        <f>bank!H18</f>
        <v>NIP tidak ditemukan</v>
      </c>
      <c r="H16" s="325" t="str">
        <f t="shared" ref="H16:L16" si="14">G16</f>
        <v>NIP tidak ditemukan</v>
      </c>
      <c r="I16" s="325" t="str">
        <f t="shared" si="14"/>
        <v>NIP tidak ditemukan</v>
      </c>
      <c r="J16" s="325" t="str">
        <f t="shared" si="14"/>
        <v>NIP tidak ditemukan</v>
      </c>
      <c r="K16" s="325" t="str">
        <f t="shared" si="14"/>
        <v>NIP tidak ditemukan</v>
      </c>
      <c r="L16" s="325" t="str">
        <f t="shared" si="14"/>
        <v>NIP tidak ditemukan</v>
      </c>
      <c r="M16" s="326"/>
      <c r="N16" s="326"/>
      <c r="O16" s="326"/>
      <c r="P16" s="326"/>
      <c r="Q16" s="325" t="e">
        <f t="shared" si="5"/>
        <v>#VALUE!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NIP tidak ditemukan</v>
      </c>
      <c r="C17" s="340" t="str">
        <f>bank!C19</f>
        <v>INNAMA FAJARWATI</v>
      </c>
      <c r="D17" s="324" t="e">
        <f t="shared" si="1"/>
        <v>#VALUE!</v>
      </c>
      <c r="E17" s="324" t="e">
        <f t="shared" si="2"/>
        <v>#VALUE!</v>
      </c>
      <c r="F17" s="324" t="e">
        <f t="shared" si="3"/>
        <v>#VALUE!</v>
      </c>
      <c r="G17" s="325" t="str">
        <f>bank!H19</f>
        <v>NIP tidak ditemukan</v>
      </c>
      <c r="H17" s="325" t="str">
        <f t="shared" ref="H17:L17" si="15">G17</f>
        <v>NIP tidak ditemukan</v>
      </c>
      <c r="I17" s="325" t="str">
        <f t="shared" si="15"/>
        <v>NIP tidak ditemukan</v>
      </c>
      <c r="J17" s="325" t="str">
        <f t="shared" si="15"/>
        <v>NIP tidak ditemukan</v>
      </c>
      <c r="K17" s="325" t="str">
        <f t="shared" si="15"/>
        <v>NIP tidak ditemukan</v>
      </c>
      <c r="L17" s="325" t="str">
        <f t="shared" si="15"/>
        <v>NIP tidak ditemukan</v>
      </c>
      <c r="M17" s="326"/>
      <c r="N17" s="326"/>
      <c r="O17" s="326"/>
      <c r="P17" s="326"/>
      <c r="Q17" s="325" t="e">
        <f t="shared" si="5"/>
        <v>#VALUE!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NIP tidak ditemukan</v>
      </c>
      <c r="C18" s="340" t="str">
        <f>bank!C20</f>
        <v>JUMIATI</v>
      </c>
      <c r="D18" s="324" t="e">
        <f t="shared" si="1"/>
        <v>#VALUE!</v>
      </c>
      <c r="E18" s="324" t="e">
        <f t="shared" si="2"/>
        <v>#VALUE!</v>
      </c>
      <c r="F18" s="324" t="e">
        <f t="shared" si="3"/>
        <v>#VALUE!</v>
      </c>
      <c r="G18" s="325" t="str">
        <f>bank!H20</f>
        <v>NIP tidak ditemukan</v>
      </c>
      <c r="H18" s="325" t="str">
        <f t="shared" ref="H18:L18" si="16">G18</f>
        <v>NIP tidak ditemukan</v>
      </c>
      <c r="I18" s="325" t="str">
        <f t="shared" si="16"/>
        <v>NIP tidak ditemukan</v>
      </c>
      <c r="J18" s="325" t="str">
        <f t="shared" si="16"/>
        <v>NIP tidak ditemukan</v>
      </c>
      <c r="K18" s="325" t="str">
        <f t="shared" si="16"/>
        <v>NIP tidak ditemukan</v>
      </c>
      <c r="L18" s="325" t="str">
        <f t="shared" si="16"/>
        <v>NIP tidak ditemukan</v>
      </c>
      <c r="M18" s="326"/>
      <c r="N18" s="326"/>
      <c r="O18" s="326"/>
      <c r="P18" s="326"/>
      <c r="Q18" s="325" t="e">
        <f t="shared" si="5"/>
        <v>#VALUE!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NIP tidak ditemukan</v>
      </c>
      <c r="C19" s="340" t="str">
        <f>bank!C21</f>
        <v>KUSTIA APRILIA</v>
      </c>
      <c r="D19" s="324" t="e">
        <f t="shared" si="1"/>
        <v>#VALUE!</v>
      </c>
      <c r="E19" s="324" t="e">
        <f t="shared" si="2"/>
        <v>#VALUE!</v>
      </c>
      <c r="F19" s="324" t="e">
        <f t="shared" si="3"/>
        <v>#VALUE!</v>
      </c>
      <c r="G19" s="325" t="str">
        <f>bank!H21</f>
        <v>NIP tidak ditemukan</v>
      </c>
      <c r="H19" s="325" t="str">
        <f t="shared" ref="H19:L19" si="17">G19</f>
        <v>NIP tidak ditemukan</v>
      </c>
      <c r="I19" s="325" t="str">
        <f t="shared" si="17"/>
        <v>NIP tidak ditemukan</v>
      </c>
      <c r="J19" s="325" t="str">
        <f t="shared" si="17"/>
        <v>NIP tidak ditemukan</v>
      </c>
      <c r="K19" s="325" t="str">
        <f t="shared" si="17"/>
        <v>NIP tidak ditemukan</v>
      </c>
      <c r="L19" s="325" t="str">
        <f t="shared" si="17"/>
        <v>NIP tidak ditemukan</v>
      </c>
      <c r="M19" s="326"/>
      <c r="N19" s="326"/>
      <c r="O19" s="326"/>
      <c r="P19" s="326"/>
      <c r="Q19" s="325" t="e">
        <f t="shared" si="5"/>
        <v>#VALUE!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NIP tidak ditemukan</v>
      </c>
      <c r="C20" s="340" t="str">
        <f>bank!C22</f>
        <v>LINDA SUNARYA</v>
      </c>
      <c r="D20" s="324" t="e">
        <f t="shared" si="1"/>
        <v>#VALUE!</v>
      </c>
      <c r="E20" s="324" t="e">
        <f t="shared" si="2"/>
        <v>#VALUE!</v>
      </c>
      <c r="F20" s="324" t="e">
        <f t="shared" si="3"/>
        <v>#VALUE!</v>
      </c>
      <c r="G20" s="325" t="str">
        <f>bank!H22</f>
        <v>NIP tidak ditemukan</v>
      </c>
      <c r="H20" s="325" t="str">
        <f t="shared" ref="H20:L20" si="18">G20</f>
        <v>NIP tidak ditemukan</v>
      </c>
      <c r="I20" s="325" t="str">
        <f t="shared" si="18"/>
        <v>NIP tidak ditemukan</v>
      </c>
      <c r="J20" s="325" t="str">
        <f t="shared" si="18"/>
        <v>NIP tidak ditemukan</v>
      </c>
      <c r="K20" s="325" t="str">
        <f t="shared" si="18"/>
        <v>NIP tidak ditemukan</v>
      </c>
      <c r="L20" s="325" t="str">
        <f t="shared" si="18"/>
        <v>NIP tidak ditemukan</v>
      </c>
      <c r="M20" s="326"/>
      <c r="N20" s="326"/>
      <c r="O20" s="326"/>
      <c r="P20" s="326"/>
      <c r="Q20" s="325" t="e">
        <f t="shared" si="5"/>
        <v>#VALUE!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NIP tidak ditemukan</v>
      </c>
      <c r="C21" s="340" t="str">
        <f>bank!C23</f>
        <v>LISMASARI</v>
      </c>
      <c r="D21" s="324" t="e">
        <f t="shared" si="1"/>
        <v>#VALUE!</v>
      </c>
      <c r="E21" s="324" t="e">
        <f t="shared" si="2"/>
        <v>#VALUE!</v>
      </c>
      <c r="F21" s="324" t="e">
        <f t="shared" si="3"/>
        <v>#VALUE!</v>
      </c>
      <c r="G21" s="325" t="str">
        <f>bank!H23</f>
        <v>NIP tidak ditemukan</v>
      </c>
      <c r="H21" s="325" t="str">
        <f t="shared" ref="H21:L21" si="19">G21</f>
        <v>NIP tidak ditemukan</v>
      </c>
      <c r="I21" s="325" t="str">
        <f t="shared" si="19"/>
        <v>NIP tidak ditemukan</v>
      </c>
      <c r="J21" s="325" t="str">
        <f t="shared" si="19"/>
        <v>NIP tidak ditemukan</v>
      </c>
      <c r="K21" s="325" t="str">
        <f t="shared" si="19"/>
        <v>NIP tidak ditemukan</v>
      </c>
      <c r="L21" s="325" t="str">
        <f t="shared" si="19"/>
        <v>NIP tidak ditemukan</v>
      </c>
      <c r="M21" s="326"/>
      <c r="N21" s="326"/>
      <c r="O21" s="326"/>
      <c r="P21" s="326"/>
      <c r="Q21" s="325" t="e">
        <f t="shared" si="5"/>
        <v>#VALUE!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NIP tidak ditemukan</v>
      </c>
      <c r="C22" s="340" t="str">
        <f>bank!C24</f>
        <v>MARHAYSON</v>
      </c>
      <c r="D22" s="324" t="e">
        <f t="shared" si="1"/>
        <v>#VALUE!</v>
      </c>
      <c r="E22" s="324" t="e">
        <f t="shared" si="2"/>
        <v>#VALUE!</v>
      </c>
      <c r="F22" s="324" t="e">
        <f t="shared" si="3"/>
        <v>#VALUE!</v>
      </c>
      <c r="G22" s="325" t="str">
        <f>bank!H24</f>
        <v>NIP tidak ditemukan</v>
      </c>
      <c r="H22" s="325" t="str">
        <f t="shared" ref="H22:L22" si="20">G22</f>
        <v>NIP tidak ditemukan</v>
      </c>
      <c r="I22" s="325" t="str">
        <f t="shared" si="20"/>
        <v>NIP tidak ditemukan</v>
      </c>
      <c r="J22" s="325" t="str">
        <f t="shared" si="20"/>
        <v>NIP tidak ditemukan</v>
      </c>
      <c r="K22" s="325" t="str">
        <f t="shared" si="20"/>
        <v>NIP tidak ditemukan</v>
      </c>
      <c r="L22" s="325" t="str">
        <f t="shared" si="20"/>
        <v>NIP tidak ditemukan</v>
      </c>
      <c r="M22" s="326"/>
      <c r="N22" s="326"/>
      <c r="O22" s="326"/>
      <c r="P22" s="326"/>
      <c r="Q22" s="325" t="e">
        <f t="shared" si="5"/>
        <v>#VALUE!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NIP tidak ditemukan</v>
      </c>
      <c r="C23" s="340" t="str">
        <f>bank!C25</f>
        <v>MARLIYANTI</v>
      </c>
      <c r="D23" s="324" t="e">
        <f t="shared" si="1"/>
        <v>#VALUE!</v>
      </c>
      <c r="E23" s="324" t="e">
        <f t="shared" si="2"/>
        <v>#VALUE!</v>
      </c>
      <c r="F23" s="324" t="e">
        <f t="shared" si="3"/>
        <v>#VALUE!</v>
      </c>
      <c r="G23" s="325" t="str">
        <f>bank!H25</f>
        <v>NIP tidak ditemukan</v>
      </c>
      <c r="H23" s="325" t="str">
        <f t="shared" ref="H23:L23" si="21">G23</f>
        <v>NIP tidak ditemukan</v>
      </c>
      <c r="I23" s="325" t="str">
        <f t="shared" si="21"/>
        <v>NIP tidak ditemukan</v>
      </c>
      <c r="J23" s="325" t="str">
        <f t="shared" si="21"/>
        <v>NIP tidak ditemukan</v>
      </c>
      <c r="K23" s="325" t="str">
        <f t="shared" si="21"/>
        <v>NIP tidak ditemukan</v>
      </c>
      <c r="L23" s="325" t="str">
        <f t="shared" si="21"/>
        <v>NIP tidak ditemukan</v>
      </c>
      <c r="M23" s="326"/>
      <c r="N23" s="326"/>
      <c r="O23" s="326"/>
      <c r="P23" s="326"/>
      <c r="Q23" s="325" t="e">
        <f t="shared" si="5"/>
        <v>#VALUE!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NIP tidak ditemukan</v>
      </c>
      <c r="C24" s="340" t="str">
        <f>bank!C26</f>
        <v>MARNI</v>
      </c>
      <c r="D24" s="324" t="e">
        <f t="shared" si="1"/>
        <v>#VALUE!</v>
      </c>
      <c r="E24" s="324" t="e">
        <f t="shared" si="2"/>
        <v>#VALUE!</v>
      </c>
      <c r="F24" s="324" t="e">
        <f t="shared" si="3"/>
        <v>#VALUE!</v>
      </c>
      <c r="G24" s="325" t="str">
        <f>bank!H26</f>
        <v>NIP tidak ditemukan</v>
      </c>
      <c r="H24" s="325" t="str">
        <f t="shared" ref="H24:L24" si="22">G24</f>
        <v>NIP tidak ditemukan</v>
      </c>
      <c r="I24" s="325" t="str">
        <f t="shared" si="22"/>
        <v>NIP tidak ditemukan</v>
      </c>
      <c r="J24" s="325" t="str">
        <f t="shared" si="22"/>
        <v>NIP tidak ditemukan</v>
      </c>
      <c r="K24" s="325" t="str">
        <f t="shared" si="22"/>
        <v>NIP tidak ditemukan</v>
      </c>
      <c r="L24" s="325" t="str">
        <f t="shared" si="22"/>
        <v>NIP tidak ditemukan</v>
      </c>
      <c r="M24" s="326"/>
      <c r="N24" s="326"/>
      <c r="O24" s="326"/>
      <c r="P24" s="326"/>
      <c r="Q24" s="325" t="e">
        <f t="shared" si="5"/>
        <v>#VALUE!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NIP tidak ditemukan</v>
      </c>
      <c r="C25" s="340" t="str">
        <f>bank!C27</f>
        <v>NURWAZATTI ESA</v>
      </c>
      <c r="D25" s="324" t="e">
        <f t="shared" si="1"/>
        <v>#VALUE!</v>
      </c>
      <c r="E25" s="324" t="e">
        <f t="shared" si="2"/>
        <v>#VALUE!</v>
      </c>
      <c r="F25" s="324" t="e">
        <f t="shared" si="3"/>
        <v>#VALUE!</v>
      </c>
      <c r="G25" s="325" t="str">
        <f>bank!H27</f>
        <v>NIP tidak ditemukan</v>
      </c>
      <c r="H25" s="325" t="str">
        <f t="shared" ref="H25:L25" si="23">G25</f>
        <v>NIP tidak ditemukan</v>
      </c>
      <c r="I25" s="325" t="str">
        <f t="shared" si="23"/>
        <v>NIP tidak ditemukan</v>
      </c>
      <c r="J25" s="325" t="str">
        <f t="shared" si="23"/>
        <v>NIP tidak ditemukan</v>
      </c>
      <c r="K25" s="325" t="str">
        <f t="shared" si="23"/>
        <v>NIP tidak ditemukan</v>
      </c>
      <c r="L25" s="325" t="str">
        <f t="shared" si="23"/>
        <v>NIP tidak ditemukan</v>
      </c>
      <c r="M25" s="326"/>
      <c r="N25" s="326"/>
      <c r="O25" s="326"/>
      <c r="P25" s="326"/>
      <c r="Q25" s="325" t="e">
        <f t="shared" si="5"/>
        <v>#VALUE!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NIP tidak ditemukan</v>
      </c>
      <c r="C26" s="340" t="str">
        <f>bank!C28</f>
        <v>PADILAWATI</v>
      </c>
      <c r="D26" s="324" t="e">
        <f t="shared" si="1"/>
        <v>#VALUE!</v>
      </c>
      <c r="E26" s="324" t="e">
        <f t="shared" si="2"/>
        <v>#VALUE!</v>
      </c>
      <c r="F26" s="324" t="e">
        <f t="shared" si="3"/>
        <v>#VALUE!</v>
      </c>
      <c r="G26" s="325" t="str">
        <f>bank!H28</f>
        <v>NIP tidak ditemukan</v>
      </c>
      <c r="H26" s="325" t="str">
        <f t="shared" ref="H26:L26" si="24">G26</f>
        <v>NIP tidak ditemukan</v>
      </c>
      <c r="I26" s="325" t="str">
        <f t="shared" si="24"/>
        <v>NIP tidak ditemukan</v>
      </c>
      <c r="J26" s="325" t="str">
        <f t="shared" si="24"/>
        <v>NIP tidak ditemukan</v>
      </c>
      <c r="K26" s="325" t="str">
        <f t="shared" si="24"/>
        <v>NIP tidak ditemukan</v>
      </c>
      <c r="L26" s="325" t="str">
        <f t="shared" si="24"/>
        <v>NIP tidak ditemukan</v>
      </c>
      <c r="M26" s="326"/>
      <c r="N26" s="326"/>
      <c r="O26" s="326"/>
      <c r="P26" s="326"/>
      <c r="Q26" s="325" t="e">
        <f t="shared" si="5"/>
        <v>#VALUE!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NIP tidak ditemukan</v>
      </c>
      <c r="C27" s="340" t="str">
        <f>bank!C29</f>
        <v>RIZALDI</v>
      </c>
      <c r="D27" s="324" t="e">
        <f t="shared" si="1"/>
        <v>#VALUE!</v>
      </c>
      <c r="E27" s="324" t="e">
        <f t="shared" si="2"/>
        <v>#VALUE!</v>
      </c>
      <c r="F27" s="324" t="e">
        <f t="shared" si="3"/>
        <v>#VALUE!</v>
      </c>
      <c r="G27" s="325" t="str">
        <f>bank!H29</f>
        <v>NIP tidak ditemukan</v>
      </c>
      <c r="H27" s="325" t="str">
        <f t="shared" ref="H27:L27" si="25">G27</f>
        <v>NIP tidak ditemukan</v>
      </c>
      <c r="I27" s="325" t="str">
        <f t="shared" si="25"/>
        <v>NIP tidak ditemukan</v>
      </c>
      <c r="J27" s="325" t="str">
        <f t="shared" si="25"/>
        <v>NIP tidak ditemukan</v>
      </c>
      <c r="K27" s="325" t="str">
        <f t="shared" si="25"/>
        <v>NIP tidak ditemukan</v>
      </c>
      <c r="L27" s="325" t="str">
        <f t="shared" si="25"/>
        <v>NIP tidak ditemukan</v>
      </c>
      <c r="M27" s="326"/>
      <c r="N27" s="326"/>
      <c r="O27" s="326"/>
      <c r="P27" s="326"/>
      <c r="Q27" s="325" t="e">
        <f t="shared" si="5"/>
        <v>#VALUE!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NIP tidak ditemukan</v>
      </c>
      <c r="C28" s="340" t="str">
        <f>bank!C30</f>
        <v>SRI HANDAYANI</v>
      </c>
      <c r="D28" s="324" t="e">
        <f t="shared" si="1"/>
        <v>#VALUE!</v>
      </c>
      <c r="E28" s="324" t="e">
        <f t="shared" si="2"/>
        <v>#VALUE!</v>
      </c>
      <c r="F28" s="324" t="e">
        <f t="shared" si="3"/>
        <v>#VALUE!</v>
      </c>
      <c r="G28" s="325" t="str">
        <f>bank!H30</f>
        <v>NIP tidak ditemukan</v>
      </c>
      <c r="H28" s="325" t="str">
        <f t="shared" ref="H28:L28" si="26">G28</f>
        <v>NIP tidak ditemukan</v>
      </c>
      <c r="I28" s="325" t="str">
        <f t="shared" si="26"/>
        <v>NIP tidak ditemukan</v>
      </c>
      <c r="J28" s="325" t="str">
        <f t="shared" si="26"/>
        <v>NIP tidak ditemukan</v>
      </c>
      <c r="K28" s="325" t="str">
        <f t="shared" si="26"/>
        <v>NIP tidak ditemukan</v>
      </c>
      <c r="L28" s="325" t="str">
        <f t="shared" si="26"/>
        <v>NIP tidak ditemukan</v>
      </c>
      <c r="M28" s="326"/>
      <c r="N28" s="326"/>
      <c r="O28" s="326"/>
      <c r="P28" s="326"/>
      <c r="Q28" s="325" t="e">
        <f t="shared" si="5"/>
        <v>#VALUE!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NIP tidak ditemukan</v>
      </c>
      <c r="C29" s="340" t="str">
        <f>bank!C31</f>
        <v>SYAHRYANTO</v>
      </c>
      <c r="D29" s="324" t="e">
        <f t="shared" si="1"/>
        <v>#VALUE!</v>
      </c>
      <c r="E29" s="324" t="e">
        <f t="shared" si="2"/>
        <v>#VALUE!</v>
      </c>
      <c r="F29" s="324" t="e">
        <f t="shared" si="3"/>
        <v>#VALUE!</v>
      </c>
      <c r="G29" s="325" t="str">
        <f>bank!H31</f>
        <v>NIP tidak ditemukan</v>
      </c>
      <c r="H29" s="325" t="str">
        <f t="shared" ref="H29:L29" si="27">G29</f>
        <v>NIP tidak ditemukan</v>
      </c>
      <c r="I29" s="325" t="str">
        <f t="shared" si="27"/>
        <v>NIP tidak ditemukan</v>
      </c>
      <c r="J29" s="325" t="str">
        <f t="shared" si="27"/>
        <v>NIP tidak ditemukan</v>
      </c>
      <c r="K29" s="325" t="str">
        <f t="shared" si="27"/>
        <v>NIP tidak ditemukan</v>
      </c>
      <c r="L29" s="325" t="str">
        <f t="shared" si="27"/>
        <v>NIP tidak ditemukan</v>
      </c>
      <c r="M29" s="326"/>
      <c r="N29" s="326"/>
      <c r="O29" s="326"/>
      <c r="P29" s="326"/>
      <c r="Q29" s="325" t="e">
        <f t="shared" si="5"/>
        <v>#VALUE!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NIP tidak ditemukan</v>
      </c>
      <c r="C30" s="340" t="str">
        <f>bank!C32</f>
        <v>SYAMSIAH</v>
      </c>
      <c r="D30" s="324" t="e">
        <f t="shared" si="1"/>
        <v>#VALUE!</v>
      </c>
      <c r="E30" s="324" t="e">
        <f t="shared" si="2"/>
        <v>#VALUE!</v>
      </c>
      <c r="F30" s="324" t="e">
        <f t="shared" si="3"/>
        <v>#VALUE!</v>
      </c>
      <c r="G30" s="325" t="str">
        <f>bank!H32</f>
        <v>NIP tidak ditemukan</v>
      </c>
      <c r="H30" s="325" t="str">
        <f t="shared" ref="H30:L30" si="28">G30</f>
        <v>NIP tidak ditemukan</v>
      </c>
      <c r="I30" s="325" t="str">
        <f t="shared" si="28"/>
        <v>NIP tidak ditemukan</v>
      </c>
      <c r="J30" s="325" t="str">
        <f t="shared" si="28"/>
        <v>NIP tidak ditemukan</v>
      </c>
      <c r="K30" s="325" t="str">
        <f t="shared" si="28"/>
        <v>NIP tidak ditemukan</v>
      </c>
      <c r="L30" s="325" t="str">
        <f t="shared" si="28"/>
        <v>NIP tidak ditemukan</v>
      </c>
      <c r="M30" s="326"/>
      <c r="N30" s="326"/>
      <c r="O30" s="326"/>
      <c r="P30" s="326"/>
      <c r="Q30" s="325" t="e">
        <f t="shared" si="5"/>
        <v>#VALUE!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NIP tidak ditemukan</v>
      </c>
      <c r="C31" s="340" t="str">
        <f>bank!C33</f>
        <v>TOTOK SUPRIJADI</v>
      </c>
      <c r="D31" s="324" t="e">
        <f t="shared" si="1"/>
        <v>#VALUE!</v>
      </c>
      <c r="E31" s="324" t="e">
        <f t="shared" si="2"/>
        <v>#VALUE!</v>
      </c>
      <c r="F31" s="324" t="e">
        <f t="shared" si="3"/>
        <v>#VALUE!</v>
      </c>
      <c r="G31" s="325" t="str">
        <f>bank!H33</f>
        <v>NIP tidak ditemukan</v>
      </c>
      <c r="H31" s="325" t="str">
        <f t="shared" ref="H31:L31" si="29">G31</f>
        <v>NIP tidak ditemukan</v>
      </c>
      <c r="I31" s="325" t="str">
        <f t="shared" si="29"/>
        <v>NIP tidak ditemukan</v>
      </c>
      <c r="J31" s="325" t="str">
        <f t="shared" si="29"/>
        <v>NIP tidak ditemukan</v>
      </c>
      <c r="K31" s="325" t="str">
        <f t="shared" si="29"/>
        <v>NIP tidak ditemukan</v>
      </c>
      <c r="L31" s="325" t="str">
        <f t="shared" si="29"/>
        <v>NIP tidak ditemukan</v>
      </c>
      <c r="M31" s="326"/>
      <c r="N31" s="326"/>
      <c r="O31" s="326"/>
      <c r="P31" s="326"/>
      <c r="Q31" s="325" t="e">
        <f t="shared" si="5"/>
        <v>#VALUE!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NIP tidak ditemukan</v>
      </c>
      <c r="C32" s="341" t="str">
        <f>bank!C34</f>
        <v>YOPA AGUSTINA</v>
      </c>
      <c r="D32" s="333" t="e">
        <f t="shared" si="1"/>
        <v>#VALUE!</v>
      </c>
      <c r="E32" s="333" t="e">
        <f t="shared" si="2"/>
        <v>#VALUE!</v>
      </c>
      <c r="F32" s="333" t="e">
        <f t="shared" si="3"/>
        <v>#VALUE!</v>
      </c>
      <c r="G32" s="334" t="str">
        <f>bank!H34</f>
        <v>NIP tidak ditemukan</v>
      </c>
      <c r="H32" s="334" t="str">
        <f t="shared" ref="H32:L32" si="30">G32</f>
        <v>NIP tidak ditemukan</v>
      </c>
      <c r="I32" s="334" t="str">
        <f t="shared" si="30"/>
        <v>NIP tidak ditemukan</v>
      </c>
      <c r="J32" s="334" t="str">
        <f t="shared" si="30"/>
        <v>NIP tidak ditemukan</v>
      </c>
      <c r="K32" s="334" t="str">
        <f t="shared" si="30"/>
        <v>NIP tidak ditemukan</v>
      </c>
      <c r="L32" s="334" t="str">
        <f t="shared" si="30"/>
        <v>NIP tidak ditemukan</v>
      </c>
      <c r="M32" s="335"/>
      <c r="N32" s="335"/>
      <c r="O32" s="335"/>
      <c r="P32" s="335"/>
      <c r="Q32" s="334" t="e">
        <f t="shared" si="5"/>
        <v>#VALUE!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391" t="s">
        <v>67</v>
      </c>
      <c r="B33" s="392"/>
      <c r="C33" s="393"/>
      <c r="D33" s="338" t="e">
        <f>SUM(D6:D32)</f>
        <v>#VALUE!</v>
      </c>
      <c r="E33" s="338" t="e">
        <f t="shared" ref="E33:Q33" si="31">SUM(E6:E32)</f>
        <v>#VALUE!</v>
      </c>
      <c r="F33" s="338" t="e">
        <f t="shared" si="31"/>
        <v>#VALUE!</v>
      </c>
      <c r="G33" s="338">
        <f t="shared" si="31"/>
        <v>0</v>
      </c>
      <c r="H33" s="338">
        <f t="shared" si="31"/>
        <v>0</v>
      </c>
      <c r="I33" s="338">
        <f t="shared" si="31"/>
        <v>0</v>
      </c>
      <c r="J33" s="338">
        <f t="shared" si="31"/>
        <v>0</v>
      </c>
      <c r="K33" s="338">
        <f t="shared" si="31"/>
        <v>0</v>
      </c>
      <c r="L33" s="338">
        <f t="shared" si="31"/>
        <v>0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 t="e">
        <f t="shared" si="31"/>
        <v>#VALUE!</v>
      </c>
      <c r="R33" s="336"/>
      <c r="S33" s="332"/>
      <c r="T33" s="337"/>
    </row>
    <row r="34" spans="1:20" x14ac:dyDescent="0.35">
      <c r="G34" s="312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0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2026-08-09T03:51:39Z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
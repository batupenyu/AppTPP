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PPK\"/>
    </mc:Choice>
  </mc:AlternateContent>
  <xr:revisionPtr revIDLastSave="0" documentId="13_ncr:1_{BC477967-A38E-4B6B-931E-67C72B873C09}" xr6:coauthVersionLast="47" xr6:coauthVersionMax="47" xr10:uidLastSave="{00000000-0000-0000-0000-000000000000}"/>
  <bookViews>
    <workbookView xWindow="-110" yWindow="-110" windowWidth="19420" windowHeight="11020" tabRatio="842" activeTab="6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'rekap_tpp'!$A$2:$AE$43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<sst xmlns="http://schemas.openxmlformats.org/spreadsheetml/2006/main" count="834" uniqueCount="432">
  <si>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</si>
  <si>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</si>
  <si>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</si>
  <si>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</si>
  <si>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</si>
  <si>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</si>
  <si>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</si>
  <si>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</si>
  <si>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</si>
  <si>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</si>
  <si>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</si>
  <si>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</si>
  <si>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</si>
  <si>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</si>
  <si>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</si>
  <si>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</si>
  <si>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</si>
  <si>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</si>
  <si>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</si>
  <si>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</si>
  <si>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</si>
  <si>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</si>
  <si>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</si>
  <si>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</si>
  <si>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</si>
  <si>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</si>
  <si>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</si>
  <si>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</si>
  <si>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</si>
  <si>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</si>
  <si>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</si>
  <si>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</si>
  <si>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</si>
  <si>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</si>
  <si>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</si>
  <si>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</si>
  <si>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</si>
  <si>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</si>
  <si>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</si>
  <si>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</si>
  <si>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</si>
  <si>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</si>
  <si>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</si>
  <si>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</si>
  <si>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</si>
  <si>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</si>
  <si>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</si>
  <si>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</si>
  <si>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</si>
  <si>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</si>
  <si>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</si>
  <si>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</si>
  <si>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</si>
  <si>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</si>
  <si>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</si>
  <si>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</si>
  <si>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</si>
  <si>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</si>
  <si>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</si>
  <si>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</si>
  <si>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</si>
  <si>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</si>
  <si>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</si>
  <si>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</si>
  <si>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</si>
  <si>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</si>
  <si>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</si>
  <si>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</si>
  <si>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</si>
  <si>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</si>
  <si>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</si>
  <si>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</si>
  <si>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</si>
  <si>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</si>
  <si>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</si>
  <si>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</si>
  <si>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</si>
  <si>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</si>
  <si>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</si>
  <si>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</si>
  <si>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</si>
  <si>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</si>
  <si>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9</t>
  </si>
  <si>
    <t>8</t>
  </si>
  <si>
    <t>11</t>
  </si>
  <si>
    <t>7</t>
  </si>
  <si>
    <t>197708262006041005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</si>
  <si>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</si>
  <si>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</si>
  <si>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</si>
  <si>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</si>
  <si>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</si>
  <si>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</si>
  <si>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</si>
  <si>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</si>
  <si>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</si>
  <si>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</si>
  <si>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</si>
  <si>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</si>
  <si>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</si>
  <si>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</si>
  <si>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</si>
  <si>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</si>
  <si>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</si>
  <si>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</si>
  <si>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</si>
  <si>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</si>
  <si>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</si>
  <si>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</si>
  <si>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</si>
  <si>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</si>
  <si>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</si>
  <si>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</si>
  <si>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</si>
  <si>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</si>
  <si>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</si>
  <si>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</si>
  <si>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</si>
  <si>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</si>
  <si>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</si>
  <si>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</si>
  <si>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</si>
  <si>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</si>
  <si>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</si>
  <si>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</si>
  <si>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</si>
  <si>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</si>
  <si>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</si>
  <si>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</si>
  <si>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</si>
  <si>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</si>
  <si>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</si>
  <si>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</si>
  <si>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</si>
  <si>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</si>
  <si>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</si>
  <si>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</si>
  <si>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</si>
  <si>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</si>
  <si>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</si>
  <si>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</si>
  <si>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</si>
  <si>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</si>
  <si>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</si>
  <si>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</si>
  <si>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</si>
  <si>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</si>
  <si>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</si>
  <si>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</si>
  <si>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</si>
  <si>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IV/a</t>
  </si>
  <si>
    <t>Guru Ahli Madya</t>
  </si>
  <si>
    <t>IV/b</t>
  </si>
  <si>
    <t>III/b</t>
  </si>
  <si>
    <t>Guru Pertama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</si>
  <si>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</si>
  <si>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</si>
  <si>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</si>
  <si>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</si>
  <si>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</si>
  <si>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</si>
  <si>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</si>
  <si>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</si>
  <si>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</si>
  <si>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</si>
  <si>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</si>
  <si>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</si>
  <si>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</si>
  <si>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</si>
  <si>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</si>
  <si>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</si>
  <si>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</si>
  <si>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</si>
  <si>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</si>
  <si>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</si>
  <si>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</si>
  <si>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</si>
  <si>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</si>
  <si>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</si>
  <si>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</si>
  <si>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</si>
  <si>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</si>
  <si>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</si>
  <si>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</si>
  <si>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</si>
  <si>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</si>
  <si>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</si>
  <si>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</si>
  <si>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</si>
  <si>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</si>
  <si>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</si>
  <si>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</si>
  <si>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</si>
  <si>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</si>
  <si>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</si>
  <si>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</si>
  <si>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</si>
  <si>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</si>
  <si>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</si>
  <si>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</si>
  <si>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</si>
  <si>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</si>
  <si>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</si>
  <si>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</si>
  <si>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</si>
  <si>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</si>
  <si>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</si>
  <si>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</si>
  <si>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</si>
  <si>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</si>
  <si>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</si>
  <si>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</si>
  <si>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</si>
  <si>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</si>
  <si>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</si>
  <si>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</si>
  <si>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</si>
  <si>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</si>
  <si>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</si>
  <si>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</si>
  <si>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</si>
  <si>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</si>
  <si>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</si>
  <si>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</si>
  <si>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</si>
  <si>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</si>
  <si>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</si>
  <si>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</si>
  <si>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</si>
  <si>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</si>
  <si>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</si>
  <si>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</si>
  <si>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</si>
  <si>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</si>
  <si>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</si>
  <si>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</si>
  <si>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</si>
  <si>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</si>
  <si>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</si>
  <si>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</si>
  <si>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</si>
  <si>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</si>
  <si>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</si>
  <si>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</si>
  <si>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</si>
  <si>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</si>
  <si>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</si>
  <si>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</si>
  <si>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</si>
  <si>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</si>
  <si>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</si>
  <si>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</si>
  <si>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</si>
  <si>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</si>
  <si>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</si>
  <si>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</si>
  <si>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</si>
  <si>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</si>
  <si>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</si>
  <si>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</si>
  <si>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</si>
  <si>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</si>
  <si>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</si>
  <si>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</si>
  <si>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</si>
  <si>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</si>
  <si>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</si>
  <si>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</si>
  <si>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</si>
  <si>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</si>
  <si>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</si>
  <si>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</si>
  <si>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</si>
  <si>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</si>
  <si>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</si>
  <si>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</si>
  <si>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</si>
  <si>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</si>
  <si>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</si>
  <si>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</si>
  <si>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</si>
  <si>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</si>
  <si>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</si>
  <si>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</si>
  <si>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</si>
  <si>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</si>
  <si>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</si>
  <si>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</si>
  <si>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</si>
  <si>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</si>
  <si>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</si>
  <si>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</si>
  <si>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</si>
  <si>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</si>
  <si>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</si>
  <si>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</si>
  <si>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</si>
  <si>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</si>
  <si>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</si>
  <si>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</si>
  <si>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</si>
  <si>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</si>
  <si>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</si>
  <si>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</si>
  <si>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</si>
  <si>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</si>
  <si>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</si>
  <si>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</si>
  <si>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</si>
  <si>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</si>
  <si>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</si>
  <si>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</si>
  <si>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</si>
  <si>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</si>
  <si>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</si>
  <si>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</si>
  <si>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</si>
  <si>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</si>
  <si>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</si>
  <si>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</si>
  <si>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</si>
  <si>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</si>
  <si>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</si>
  <si>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</si>
  <si>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</si>
  <si>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</si>
  <si>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</si>
  <si>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</si>
  <si>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</si>
  <si>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</si>
  <si>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</si>
  <si>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</si>
  <si>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</si>
  <si>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</si>
  <si>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</si>
  <si>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</si>
  <si>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</si>
  <si>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</si>
  <si>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</si>
  <si>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</si>
  <si>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</si>
  <si>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</si>
  <si>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</si>
  <si>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</si>
  <si>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</si>
  <si>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</si>
  <si>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</si>
  <si>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</si>
  <si>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</si>
  <si>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</si>
  <si>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</si>
  <si>
    <t>197204052005011009</t>
  </si>
  <si>
    <t>1904010504720002</t>
  </si>
  <si>
    <t>198609142019021003</t>
  </si>
  <si>
    <t>1904011409860001</t>
  </si>
  <si>
    <t>196704102022211001</t>
  </si>
  <si>
    <t>1904011004670001</t>
  </si>
  <si>
    <t>199907172024211005</t>
  </si>
  <si>
    <t>1971041707990003</t>
  </si>
  <si>
    <t>199001222019022005</t>
  </si>
  <si>
    <t>1371066201900003</t>
  </si>
  <si>
    <t>199304242022211009</t>
  </si>
  <si>
    <t>1904012404930003</t>
  </si>
  <si>
    <t>198602012014021001</t>
  </si>
  <si>
    <t>3278010102860008</t>
  </si>
  <si>
    <t>198103152008042001</t>
  </si>
  <si>
    <t>1901025503810001</t>
  </si>
  <si>
    <t>198809302012121002</t>
  </si>
  <si>
    <t>1671043009880003</t>
  </si>
  <si>
    <t>198410152008041002</t>
  </si>
  <si>
    <t>1971031510840002</t>
  </si>
  <si>
    <t>198612282011012005</t>
  </si>
  <si>
    <t>1904016812860001</t>
  </si>
  <si>
    <t>198109012008041001</t>
  </si>
  <si>
    <t>1971050109810003</t>
  </si>
  <si>
    <t>197406182006041009</t>
  </si>
  <si>
    <t>1971051806740001</t>
  </si>
  <si>
    <t>198108252011011004</t>
  </si>
  <si>
    <t>1810022508810003</t>
  </si>
  <si>
    <t>198907012023211008</t>
  </si>
  <si>
    <t>1305070107890023</t>
  </si>
  <si>
    <t>198108182005012011</t>
  </si>
  <si>
    <t>1905045808810002</t>
  </si>
  <si>
    <t>198909292022211009</t>
  </si>
  <si>
    <t>1904052909890001</t>
  </si>
  <si>
    <t>199506302024212034</t>
  </si>
  <si>
    <t>1904017006950002</t>
  </si>
  <si>
    <t>198204262010012009</t>
  </si>
  <si>
    <t>1904016604820002</t>
  </si>
  <si>
    <t>198904302012122004</t>
  </si>
  <si>
    <t>3273027004890002</t>
  </si>
  <si>
    <t>198606272022212030</t>
  </si>
  <si>
    <t>1905066706860001</t>
  </si>
  <si>
    <t>198203272008042001</t>
  </si>
  <si>
    <t>1904016703820001</t>
  </si>
  <si>
    <t>196807211999032002</t>
  </si>
  <si>
    <t>1904016107680003</t>
  </si>
  <si>
    <t>198803192014021001</t>
  </si>
  <si>
    <t>1307041903880001</t>
  </si>
  <si>
    <t>198502272009032001</t>
  </si>
  <si>
    <t>1904016702850001</t>
  </si>
  <si>
    <t>197907062006042016</t>
  </si>
  <si>
    <t>1971014607790003</t>
  </si>
  <si>
    <t>197605072024212008</t>
  </si>
  <si>
    <t>1904014705760002</t>
  </si>
  <si>
    <t>199911122024211006</t>
  </si>
  <si>
    <t>1610081211990002</t>
  </si>
  <si>
    <t>198611132010012005</t>
  </si>
  <si>
    <t>1971015311860002</t>
  </si>
  <si>
    <t>197902192010012005</t>
  </si>
  <si>
    <t>1904015902790002</t>
  </si>
  <si>
    <t>199005022024212016</t>
  </si>
  <si>
    <t>1904014205900002</t>
  </si>
  <si>
    <t>199207182023211012</t>
  </si>
  <si>
    <t>1904010107920063</t>
  </si>
  <si>
    <t>197608312006041006</t>
  </si>
  <si>
    <t>1904013108760002</t>
  </si>
  <si>
    <t>199412232022212012</t>
  </si>
  <si>
    <t>1904012312940001</t>
  </si>
  <si>
    <t>199904082024212014</t>
  </si>
  <si>
    <t>1971044804990001</t>
  </si>
  <si>
    <t>198112102009032002</t>
  </si>
  <si>
    <t>1904015012810003</t>
  </si>
  <si>
    <t>199108102022212013</t>
  </si>
  <si>
    <t>1904015008910002</t>
  </si>
  <si>
    <t>1901032608770001</t>
  </si>
  <si>
    <t>197009032009032001</t>
  </si>
  <si>
    <t>1904014309700001</t>
  </si>
  <si>
    <t>197505042010011017</t>
  </si>
  <si>
    <t>1904010405750003</t>
  </si>
  <si>
    <t>198008292009032001</t>
  </si>
  <si>
    <t>1971054608800003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</si>
</sst>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  <numFmt numFmtId="177" formatCode="dd\-mm\-yyyy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5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49" fontId="0" fillId="0" borderId="0" xfId="0" quotePrefix="1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0" xfId="0" quotePrefix="1" applyNumberFormat="1" applyFont="1" applyAlignment="1"/>
    <xf numFmtId="177" fontId="0" fillId="0" borderId="0" xfId="0" quotePrefix="1" applyNumberFormat="1" applyFont="1" applyAlignment="1">
      <alignment horizontal="center"/>
    </xf>
    <xf numFmtId="177" fontId="0" fillId="0" borderId="0" xfId="0" applyNumberFormat="1" applyFont="1" applyAlignment="1"/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2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\-mm\-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E43" tableType="queryTable" totalsRowShown="0">
  <autoFilter ref="A2:AE43" xr:uid="{464285D3-99F1-4530-9C2B-A05894EBCB63}"/>
  <tableColumns count="31">
    <tableColumn id="1" xr3:uid="{5B20F201-1271-4786-BB05-63D2FB8F619E}" uniqueName="1" name="NAMA PEGAWAI" queryTableFieldId="1" dataDxfId="68"/>
    <tableColumn id="2" xr3:uid="{FDBD6383-87C9-43CD-B060-E79611C3EE10}" uniqueName="2" name="GOL_X" queryTableFieldId="2" dataDxfId="67"/>
    <tableColumn id="3" xr3:uid="{1C6CD585-E513-4415-8F1B-B20482BAF450}" uniqueName="3" name="JABATAN/ESELON" queryTableFieldId="3" dataDxfId="66"/>
    <tableColumn id="4" xr3:uid="{AE757A6F-0F9D-480B-8C2B-66187922B743}" uniqueName="4" name="KELAS JABATAN" queryTableFieldId="4" dataDxfId="65"/>
    <tableColumn id="5" xr3:uid="{A88D7AC3-6813-4A59-A46C-2152EC5B796C}" uniqueName="5" name="BESARAN TPP (RP)" queryTableFieldId="5" dataDxfId="64"/>
    <tableColumn id="6" xr3:uid="{06B49BE6-FB23-45BB-B21F-5224B5071D12}" uniqueName="6" name="POTONGAN" queryTableFieldId="6" dataDxfId="63"/>
    <tableColumn id="7" xr3:uid="{E27EDCFD-3C90-432E-8136-EF84EFC4A1C8}" uniqueName="7" name="JLH KOTOR" queryTableFieldId="7" dataDxfId="6"/>
    <tableColumn id="8" xr3:uid="{E8AB5ADF-09BF-41A0-BDD6-543BCEC679FF}" uniqueName="8" name="NIP" queryTableFieldId="8" dataDxfId="5"/>
    <tableColumn id="9" xr3:uid="{288EC872-BC3F-4089-946E-B5729584E8F0}" uniqueName="9" name="TGL_LAHIR" queryTableFieldId="9" dataDxfId="3"/>
    <tableColumn id="10" xr3:uid="{238F2E01-4B77-4C02-9240-6E997A68EC2F}" uniqueName="10" name="NPWP" queryTableFieldId="10" dataDxfId="4"/>
    <tableColumn id="11" xr3:uid="{741FD832-C296-40CD-B2EF-AD2B1ED421BF}" uniqueName="11" name="NO_REKENING" queryTableFieldId="11" dataDxfId="62"/>
    <tableColumn id="12" xr3:uid="{6973F53C-D8FE-4CE7-B136-40B39D470816}" uniqueName="12" name="UNIT_KERJA" queryTableFieldId="12" dataDxfId="61"/>
    <tableColumn id="13" xr3:uid="{BA5260D6-05A3-4E46-9A96-F1DF316E0C11}" uniqueName="13" name="GAJI_NET" queryTableFieldId="13" dataDxfId="60"/>
    <tableColumn id="14" xr3:uid="{EB551CD4-624D-4241-BDF1-35540876189E}" uniqueName="14" name="JUMLAH_ANAK" queryTableFieldId="14" dataDxfId="59"/>
    <tableColumn id="15" xr3:uid="{88992029-DA91-4693-87A4-002EF821D69C}" uniqueName="15" name="BEBAN_KERJA" queryTableFieldId="15" dataDxfId="58"/>
    <tableColumn id="16" xr3:uid="{C61FAE39-B86E-4902-885F-47897FD9396B}" uniqueName="16" name="TEMPAT_BERTUGAS" queryTableFieldId="16" dataDxfId="57"/>
    <tableColumn id="17" xr3:uid="{24E2E364-E703-46B2-9B79-A8C41CB6FD93}" uniqueName="17" name="KONDISI_KERJA" queryTableFieldId="17" dataDxfId="56"/>
    <tableColumn id="18" xr3:uid="{2D5A7389-48E2-47A4-AF50-3E9B99B13D47}" uniqueName="18" name="PRESTASI_KERJA" queryTableFieldId="18" dataDxfId="55"/>
    <tableColumn id="19" xr3:uid="{991F7B25-4550-4271-90D9-FA3A9FD64C75}" uniqueName="19" name="KELANGKAAN_PROFESI" queryTableFieldId="19" dataDxfId="2"/>
    <tableColumn id="20" xr3:uid="{4BAC88A2-9EE5-47A5-A9B2-79C6154D9F1F}" uniqueName="20" name="NIK PEGAWAI" queryTableFieldId="20" dataDxfId="0"/>
    <tableColumn id="21" xr3:uid="{14960DCF-EBF4-41C1-9684-C85D34AF2FFA}" uniqueName="21" name="TIPE JABATAN" queryTableFieldId="21" dataDxfId="1"/>
    <tableColumn id="22" xr3:uid="{3AF2716A-4291-4721-A4A3-B6D6778E340B}" uniqueName="22" name="STATUS ASN" queryTableFieldId="22" dataDxfId="54"/>
    <tableColumn id="24" xr3:uid="{380F2D27-A0EC-48D6-BA18-7C07C0A17140}" uniqueName="24" name="MASA KERJA GOLONGAN" queryTableFieldId="24" dataDxfId="53"/>
    <tableColumn id="25" xr3:uid="{0F985834-BD1E-4275-808D-F7EFF8806F6D}" uniqueName="25" name="ALAMAT" queryTableFieldId="25" dataDxfId="52"/>
    <tableColumn id="26" xr3:uid="{B4BB1B6F-E47B-4954-84B1-45E50ABAE306}" uniqueName="26" name="STATUS PERNIKAHAN" queryTableFieldId="26" dataDxfId="51"/>
    <tableColumn id="27" xr3:uid="{81760B26-7ABC-40F5-BE9E-09907EEDB68E}" uniqueName="27" name="JUMLAH ISTRI_SUAMI" queryTableFieldId="27" dataDxfId="50"/>
    <tableColumn id="28" xr3:uid="{4E984027-D69F-4BEB-B1B1-7E6CF6B4EA66}" uniqueName="28" name="JUMLAH ANAK" queryTableFieldId="28" dataDxfId="49"/>
    <tableColumn id="29" xr3:uid="{785DBBCC-5B81-45E0-B980-55467CB2BB92}" uniqueName="29" name="NAMA BANK" queryTableFieldId="29" dataDxfId="48"/>
    <tableColumn id="30" xr3:uid="{8B4B0433-99D4-4A61-8DDA-F84E1EBA0D76}" uniqueName="30" name="NOMOR REKENING BANK PEGAWAI" queryTableFieldId="30" dataDxfId="47"/>
    <tableColumn id="31" xr3:uid="{45B94943-55E5-4568-8023-CF63C37EFD41}" uniqueName="31" name="UNIT KERJA" queryTableFieldId="31" dataDxfId="46"/>
    <tableColumn id="32" xr3:uid="{C8EFEAEE-EB7B-4529-89C3-3FF5C607A9F2}" uniqueName="32" name="JANUARI" queryTableFieldId="32" dataDxfId="4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44" dataDxfId="42" headerRowBorderDxfId="43" tableBorderDxfId="41" headerRowCellStyle="Normal 3">
  <autoFilter ref="A1:AH16" xr:uid="{A5561FD1-4AF9-4D2E-A742-F9CDF1312403}"/>
  <tableColumns count="34">
    <tableColumn id="1" xr3:uid="{4CD65D2C-FADC-425D-8B09-36E95AA0C4C4}" name="NIP Pegawai" dataDxfId="40" dataCellStyle="Normal 3"/>
    <tableColumn id="2" xr3:uid="{6D145E3F-9DA5-4A97-AD42-9B223C5A3D4B}" name="Nama Pegawai" dataDxfId="39" dataCellStyle="Normal 3"/>
    <tableColumn id="3" xr3:uid="{CE87AF92-1F32-46FF-8FF0-3D8F3A7AA0C8}" name="NIK Pegawai" dataDxfId="38" dataCellStyle="Normal 3"/>
    <tableColumn id="4" xr3:uid="{92321968-A708-4474-A6E3-60FBBDEE2465}" name="NPWP Pegawai" dataDxfId="37" dataCellStyle="Normal 3"/>
    <tableColumn id="5" xr3:uid="{18C25449-D041-4081-9113-0379DD28CD9E}" name="Tanggal Lahir Pegawai" dataDxfId="36" dataCellStyle="Normal 3"/>
    <tableColumn id="6" xr3:uid="{FBDA3956-80E5-4C82-AF10-6EB6F9678BFF}" name="Tipe Jabatan" dataDxfId="35" dataCellStyle="Normal 3"/>
    <tableColumn id="7" xr3:uid="{AB6F191B-0EC7-4441-B156-BFB7FE3B62B8}" name="Nama Jabatan" dataDxfId="34" dataCellStyle="Normal 3"/>
    <tableColumn id="8" xr3:uid="{E743B231-7E97-4793-A31D-80AC2D15F801}" name="Eselon" dataDxfId="33" dataCellStyle="Normal 3"/>
    <tableColumn id="9" xr3:uid="{93115447-A25D-4B40-ACE5-0B1D1E48E8C0}" name="Status ASN" dataDxfId="32" dataCellStyle="Normal 3"/>
    <tableColumn id="10" xr3:uid="{BB129F8D-EF6B-494F-8261-5094D9DB0A8D}" name="golongan" dataDxfId="31" dataCellStyle="Normal 3"/>
    <tableColumn id="11" xr3:uid="{366A506F-C041-4102-8885-7C3A0C4090F0}" name="Masa Kerja Golongan" dataDxfId="30" dataCellStyle="Normal 3"/>
    <tableColumn id="12" xr3:uid="{A3CC949D-31C0-45C2-8A4B-B0D61D757553}" name="Alamat" dataDxfId="29" dataCellStyle="Normal 3"/>
    <tableColumn id="13" xr3:uid="{263349B4-D1E3-4951-A2DD-65669F2F2F32}" name="Kode Bank" dataDxfId="28" dataCellStyle="Normal 3"/>
    <tableColumn id="14" xr3:uid="{F2DE3900-A83E-480D-9B48-C69A8D522967}" name="Nama Bank" dataDxfId="27" dataCellStyle="Normal 3"/>
    <tableColumn id="15" xr3:uid="{24D68C8C-8259-4667-994B-1126739DCCED}" name="Nomor Rekening Bank Pegawai" dataDxfId="26" dataCellStyle="Normal 3"/>
    <tableColumn id="16" xr3:uid="{662CB907-B730-4387-9657-85D6F292B82E}" name="BEBAN KERJA (O)" dataDxfId="25" dataCellStyle="Comma"/>
    <tableColumn id="17" xr3:uid="{15BDB1C7-FE15-4DE5-B3E5-BD6DDAEC7FD9}" name="PRESTASI KERJA (S)" dataDxfId="24"/>
    <tableColumn id="18" xr3:uid="{4A368623-7CD5-4510-906C-27A38787E027}" name="KONDISI KERJA (Q)" dataDxfId="23"/>
    <tableColumn id="19" xr3:uid="{F8C1A631-9A44-4AEB-88D0-A91D8FD4FD82}" name="TEMPAT BERTUGAS (P)" dataDxfId="22"/>
    <tableColumn id="20" xr3:uid="{83064277-8D8B-4E8C-B698-D2457B89F614}" name="KELANGKAAN PROFESI (R)" dataDxfId="21"/>
    <tableColumn id="21" xr3:uid="{E366D050-CB24-4E16-8585-23823E91D766}" name="Tunjangan PPh" dataDxfId="20" dataCellStyle="Normal 3"/>
    <tableColumn id="22" xr3:uid="{7A6FBE1C-F82A-41EB-9CFC-865339CB02F7}" name="Iuran Jaminan Kesehatan" dataDxfId="19" dataCellStyle="Normal 3"/>
    <tableColumn id="23" xr3:uid="{03F8F740-FA8C-4992-8539-3420DF828A5F}" name="Iuran Jaminan Kecelakaan Kerja" dataDxfId="18" dataCellStyle="Normal 3"/>
    <tableColumn id="24" xr3:uid="{A914D4BE-7A4E-448E-9690-44B953045D4A}" name="Iuran Jaminan Kematian" dataDxfId="17" dataCellStyle="Normal 3"/>
    <tableColumn id="25" xr3:uid="{E67BAB7C-8DDF-4D77-8925-C4AACA16D2D1}" name="Iuran Simpanan Tapera" dataDxfId="16" dataCellStyle="Normal 3"/>
    <tableColumn id="26" xr3:uid="{0383141A-5682-47E9-A1C0-281A3842A76A}" name="Iuran Pensiun" dataDxfId="15" dataCellStyle="Normal 3"/>
    <tableColumn id="27" xr3:uid="{CB0AC6EC-3297-4D4A-BFAF-52D4FE8D44E3}" name="Tunjangan Jaminan Hari Tua" dataDxfId="14" dataCellStyle="Normal 3"/>
    <tableColumn id="28" xr3:uid="{5948BD31-6A9B-4D01-9903-974E58A00812}" name="Potongan IWP" dataDxfId="13" dataCellStyle="Normal 3"/>
    <tableColumn id="29" xr3:uid="{2A84EB8A-BB92-4F0C-B6E4-11F35F2606F5}" name="Potongan PPh 21" dataDxfId="12" dataCellStyle="Normal 3"/>
    <tableColumn id="30" xr3:uid="{46AE728D-6283-47DD-8B2F-8F74D09FC3A6}" name="Zakat" dataDxfId="11" dataCellStyle="Normal 3"/>
    <tableColumn id="31" xr3:uid="{37E31F51-1C10-42BD-A290-712CFFC83ABD}" name="Bulog" dataDxfId="10" dataCellStyle="Normal 3"/>
    <tableColumn id="32" xr3:uid="{094DA03A-505E-44CA-B811-438E42621239}" name="Jumlah TPP" dataDxfId="9" dataCellStyle="Comma"/>
    <tableColumn id="33" xr3:uid="{2FE7D98C-3020-4DFA-9B32-2E45C9D693C3}" name="Jumlah Potongan" dataDxfId="8" dataCellStyle="Comma"/>
    <tableColumn id="34" xr3:uid="{89E927F3-F6A8-4488-BE8E-212DC62711C7}" name="Jumlah Ditransfer" dataDxfId="7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10" zoomScale="55" zoomScaleNormal="55" zoomScaleSheetLayoutView="55" workbookViewId="0">
      <selection activeCell="I15" sqref="I15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88" t="s">
        <v>0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90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86" t="s">
        <v>1</v>
      </c>
      <c r="B3" s="286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86" t="s">
        <v>2</v>
      </c>
      <c r="B4" s="286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86" t="s">
        <v>3</v>
      </c>
      <c r="B5" s="286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4" t="s">
        <v>4</v>
      </c>
      <c r="B7" s="291" t="s">
        <v>5</v>
      </c>
      <c r="C7" s="292" t="s">
        <v>6</v>
      </c>
      <c r="D7" s="284" t="s">
        <v>7</v>
      </c>
      <c r="E7" s="293" t="s">
        <v>8</v>
      </c>
      <c r="F7" s="292" t="s">
        <v>74</v>
      </c>
      <c r="G7" s="284" t="s">
        <v>9</v>
      </c>
      <c r="H7" s="292" t="s">
        <v>111</v>
      </c>
      <c r="I7" s="298" t="s">
        <v>10</v>
      </c>
      <c r="J7" s="292" t="s">
        <v>11</v>
      </c>
      <c r="K7" s="292" t="s">
        <v>12</v>
      </c>
      <c r="L7" s="299" t="s">
        <v>13</v>
      </c>
      <c r="M7" s="300"/>
      <c r="N7" s="292" t="s">
        <v>14</v>
      </c>
      <c r="O7" s="292" t="s">
        <v>15</v>
      </c>
      <c r="P7" s="294" t="s">
        <v>16</v>
      </c>
      <c r="Q7" s="292" t="s">
        <v>17</v>
      </c>
      <c r="R7" s="295" t="s">
        <v>18</v>
      </c>
      <c r="S7" s="282" t="s">
        <v>155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7"/>
      <c r="B8" s="287"/>
      <c r="C8" s="287"/>
      <c r="D8" s="285"/>
      <c r="E8" s="287"/>
      <c r="F8" s="287"/>
      <c r="G8" s="287"/>
      <c r="H8" s="297"/>
      <c r="I8" s="287"/>
      <c r="J8" s="287"/>
      <c r="K8" s="287"/>
      <c r="L8" s="9">
        <v>0.04</v>
      </c>
      <c r="M8" s="10">
        <v>0.01</v>
      </c>
      <c r="N8" s="287"/>
      <c r="O8" s="287"/>
      <c r="P8" s="287"/>
      <c r="Q8" s="287"/>
      <c r="R8" s="296"/>
      <c r="S8" s="283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88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1904011004670001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4058600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1089000</v>
      </c>
      <c r="O10" s="17"/>
      <c r="P10" s="17">
        <f>N10-O10</f>
        <v>1089000</v>
      </c>
      <c r="Q10" s="17"/>
      <c r="R10" s="257">
        <f>P10-Q10</f>
        <v>1089000</v>
      </c>
      <c r="S10" s="260" t="s">
        <v>87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102</v>
      </c>
      <c r="B11" s="139" t="s">
        <v>95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1904014705760002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4220400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87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103</v>
      </c>
      <c r="B12" s="139" t="s">
        <v>94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1905066706860001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3659800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87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104</v>
      </c>
      <c r="B13" s="139" t="s">
        <v>91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1305070107890023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3560200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990000</v>
      </c>
      <c r="O13" s="17"/>
      <c r="P13" s="17">
        <f t="shared" si="8"/>
        <v>990000</v>
      </c>
      <c r="Q13" s="17"/>
      <c r="R13" s="257">
        <f t="shared" si="9"/>
        <v>990000</v>
      </c>
      <c r="S13" s="260" t="s">
        <v>87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105</v>
      </c>
      <c r="B14" s="139" t="s">
        <v>92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1904052909890001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4334000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18000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972000</v>
      </c>
      <c r="O14" s="17"/>
      <c r="P14" s="17">
        <f t="shared" si="8"/>
        <v>972000</v>
      </c>
      <c r="Q14" s="17"/>
      <c r="R14" s="257">
        <f t="shared" si="9"/>
        <v>972000</v>
      </c>
      <c r="S14" s="260" t="s">
        <v>87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106</v>
      </c>
      <c r="B15" s="139" t="s">
        <v>97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1904014205900002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3560200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3500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986500</v>
      </c>
      <c r="O15" s="17"/>
      <c r="P15" s="17">
        <f t="shared" si="8"/>
        <v>986500</v>
      </c>
      <c r="Q15" s="17"/>
      <c r="R15" s="257">
        <f t="shared" si="9"/>
        <v>986500</v>
      </c>
      <c r="S15" s="260" t="s">
        <v>87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85</v>
      </c>
      <c r="B16" s="139" t="s">
        <v>101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1904015008910002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4196300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87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83</v>
      </c>
      <c r="B17" s="139" t="s">
        <v>98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1904010107920063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3560200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10500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979500</v>
      </c>
      <c r="O17" s="17"/>
      <c r="P17" s="17">
        <f t="shared" si="8"/>
        <v>979500</v>
      </c>
      <c r="Q17" s="17"/>
      <c r="R17" s="257">
        <f t="shared" si="9"/>
        <v>979500</v>
      </c>
      <c r="S17" s="260" t="s">
        <v>87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82</v>
      </c>
      <c r="B18" s="139" t="s">
        <v>90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1904012404930003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4196300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36500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953500</v>
      </c>
      <c r="O18" s="17"/>
      <c r="P18" s="17">
        <f t="shared" si="8"/>
        <v>953500</v>
      </c>
      <c r="Q18" s="17"/>
      <c r="R18" s="257">
        <f t="shared" si="9"/>
        <v>953500</v>
      </c>
      <c r="S18" s="260" t="s">
        <v>87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107</v>
      </c>
      <c r="B19" s="139" t="s">
        <v>99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1904012312940001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4196300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990000</v>
      </c>
      <c r="O19" s="17"/>
      <c r="P19" s="17">
        <f t="shared" si="8"/>
        <v>990000</v>
      </c>
      <c r="Q19" s="17"/>
      <c r="R19" s="257">
        <f t="shared" si="9"/>
        <v>990000</v>
      </c>
      <c r="S19" s="260" t="s">
        <v>87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84</v>
      </c>
      <c r="B20" s="139" t="s">
        <v>93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1904017006950002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3560200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990000</v>
      </c>
      <c r="O20" s="17"/>
      <c r="P20" s="17">
        <f t="shared" si="8"/>
        <v>990000</v>
      </c>
      <c r="Q20" s="17"/>
      <c r="R20" s="257">
        <f t="shared" si="9"/>
        <v>990000</v>
      </c>
      <c r="S20" s="260" t="s">
        <v>87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108</v>
      </c>
      <c r="B21" s="139" t="s">
        <v>100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1971044804990001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3560200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21000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969000</v>
      </c>
      <c r="O21" s="17"/>
      <c r="P21" s="17">
        <f t="shared" si="8"/>
        <v>969000</v>
      </c>
      <c r="Q21" s="17"/>
      <c r="R21" s="257">
        <f t="shared" si="9"/>
        <v>969000</v>
      </c>
      <c r="S21" s="260" t="s">
        <v>87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109</v>
      </c>
      <c r="B22" s="139" t="s">
        <v>89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1971041707990003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3949000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990000</v>
      </c>
      <c r="O22" s="17"/>
      <c r="P22" s="17">
        <f t="shared" si="8"/>
        <v>990000</v>
      </c>
      <c r="Q22" s="17"/>
      <c r="R22" s="257">
        <f t="shared" si="9"/>
        <v>990000</v>
      </c>
      <c r="S22" s="260" t="s">
        <v>87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110</v>
      </c>
      <c r="B23" s="139" t="s">
        <v>96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1610081211990002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4084700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990000</v>
      </c>
      <c r="O23" s="17"/>
      <c r="P23" s="17">
        <f t="shared" si="8"/>
        <v>990000</v>
      </c>
      <c r="Q23" s="17"/>
      <c r="R23" s="257">
        <f t="shared" si="9"/>
        <v>990000</v>
      </c>
      <c r="S23" s="260" t="s">
        <v>87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96500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13862500</v>
      </c>
      <c r="O24" s="22">
        <f t="shared" si="10"/>
        <v>0</v>
      </c>
      <c r="P24" s="22">
        <f t="shared" si="10"/>
        <v>13862500</v>
      </c>
      <c r="Q24" s="22">
        <f t="shared" si="10"/>
        <v>0</v>
      </c>
      <c r="R24" s="258">
        <f t="shared" si="10"/>
        <v>13862500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  <mergeCell ref="S7:S8"/>
    <mergeCell ref="D7:D8"/>
    <mergeCell ref="A3:B3"/>
    <mergeCell ref="A4:B4"/>
    <mergeCell ref="A5:B5"/>
    <mergeCell ref="G7:G8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7" zoomScale="60" zoomScaleNormal="55" workbookViewId="0">
      <selection activeCell="G25" sqref="G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112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5" t="s">
        <v>30</v>
      </c>
      <c r="B9" s="306" t="s">
        <v>5</v>
      </c>
      <c r="C9" s="306" t="s">
        <v>6</v>
      </c>
      <c r="D9" s="301" t="s">
        <v>31</v>
      </c>
      <c r="E9" s="301" t="s">
        <v>32</v>
      </c>
      <c r="F9" s="308" t="s">
        <v>33</v>
      </c>
      <c r="G9" s="309" t="s">
        <v>34</v>
      </c>
      <c r="H9" s="310"/>
      <c r="I9" s="310"/>
      <c r="J9" s="311"/>
      <c r="K9" s="305" t="s">
        <v>35</v>
      </c>
      <c r="L9" s="301" t="s">
        <v>16</v>
      </c>
      <c r="M9" s="304" t="s">
        <v>36</v>
      </c>
    </row>
    <row r="10" spans="1:16" x14ac:dyDescent="0.35">
      <c r="A10" s="302"/>
      <c r="B10" s="302"/>
      <c r="C10" s="302"/>
      <c r="D10" s="302"/>
      <c r="E10" s="302"/>
      <c r="F10" s="302"/>
      <c r="G10" s="307" t="s">
        <v>37</v>
      </c>
      <c r="H10" s="304" t="s">
        <v>38</v>
      </c>
      <c r="I10" s="304" t="s">
        <v>39</v>
      </c>
      <c r="J10" s="307" t="s">
        <v>40</v>
      </c>
      <c r="K10" s="302"/>
      <c r="L10" s="302"/>
      <c r="M10" s="302"/>
    </row>
    <row r="11" spans="1:16" x14ac:dyDescent="0.35">
      <c r="A11" s="303"/>
      <c r="B11" s="303"/>
      <c r="C11" s="303"/>
      <c r="D11" s="303"/>
      <c r="E11" s="303"/>
      <c r="F11" s="303"/>
      <c r="G11" s="303"/>
      <c r="H11" s="303"/>
      <c r="I11" s="303"/>
      <c r="J11" s="303"/>
      <c r="K11" s="303"/>
      <c r="L11" s="303"/>
      <c r="M11" s="303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1100000</v>
      </c>
      <c r="H12" s="158">
        <v>0</v>
      </c>
      <c r="I12" s="158">
        <v>1</v>
      </c>
      <c r="J12" s="158">
        <f t="shared" ref="J12" si="1">G12*I12</f>
        <v>1100000</v>
      </c>
      <c r="K12" s="158"/>
      <c r="L12" s="158">
        <f t="shared" ref="L12" si="2">J12-K12</f>
        <v>1100000</v>
      </c>
      <c r="M12" s="105" t="str">
        <f>bpjs!S10</f>
        <v>SMKN 1 KOBA</v>
      </c>
    </row>
    <row r="13" spans="1:16" ht="28" x14ac:dyDescent="0.35">
      <c r="A13" s="156" t="s">
        <v>102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103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104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1000000</v>
      </c>
      <c r="H15" s="158">
        <v>0</v>
      </c>
      <c r="I15" s="158">
        <v>1</v>
      </c>
      <c r="J15" s="158">
        <f t="shared" si="4"/>
        <v>1000000</v>
      </c>
      <c r="K15" s="158"/>
      <c r="L15" s="158">
        <f t="shared" si="5"/>
        <v>1000000</v>
      </c>
      <c r="M15" s="105" t="str">
        <f>bpjs!S13</f>
        <v>SMKN 1 KOBA</v>
      </c>
    </row>
    <row r="16" spans="1:16" ht="28" x14ac:dyDescent="0.35">
      <c r="A16" s="156" t="s">
        <v>105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982000</v>
      </c>
      <c r="H16" s="158">
        <v>0</v>
      </c>
      <c r="I16" s="158">
        <v>1</v>
      </c>
      <c r="J16" s="158">
        <f t="shared" si="4"/>
        <v>982000</v>
      </c>
      <c r="K16" s="158"/>
      <c r="L16" s="158">
        <f t="shared" si="5"/>
        <v>982000</v>
      </c>
      <c r="M16" s="105" t="str">
        <f>bpjs!S14</f>
        <v>SMKN 1 KOBA</v>
      </c>
    </row>
    <row r="17" spans="1:13" ht="28" x14ac:dyDescent="0.35">
      <c r="A17" s="156" t="s">
        <v>106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996500</v>
      </c>
      <c r="H17" s="158">
        <v>0</v>
      </c>
      <c r="I17" s="158">
        <v>1</v>
      </c>
      <c r="J17" s="158">
        <f t="shared" si="4"/>
        <v>996500</v>
      </c>
      <c r="K17" s="158"/>
      <c r="L17" s="158">
        <f t="shared" si="5"/>
        <v>996500</v>
      </c>
      <c r="M17" s="105" t="str">
        <f>bpjs!S15</f>
        <v>SMKN 1 KOBA</v>
      </c>
    </row>
    <row r="18" spans="1:13" ht="28" x14ac:dyDescent="0.35">
      <c r="A18" s="156" t="s">
        <v>85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83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989500</v>
      </c>
      <c r="H19" s="158">
        <v>0</v>
      </c>
      <c r="I19" s="158">
        <v>1</v>
      </c>
      <c r="J19" s="158">
        <f t="shared" si="4"/>
        <v>989500</v>
      </c>
      <c r="K19" s="158"/>
      <c r="L19" s="158">
        <f t="shared" si="5"/>
        <v>989500</v>
      </c>
      <c r="M19" s="105" t="str">
        <f>bpjs!S17</f>
        <v>SMKN 1 KOBA</v>
      </c>
    </row>
    <row r="20" spans="1:13" ht="28" x14ac:dyDescent="0.35">
      <c r="A20" s="156" t="s">
        <v>82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963500</v>
      </c>
      <c r="H20" s="158">
        <v>0</v>
      </c>
      <c r="I20" s="158">
        <v>1</v>
      </c>
      <c r="J20" s="158">
        <f t="shared" si="4"/>
        <v>963500</v>
      </c>
      <c r="K20" s="158"/>
      <c r="L20" s="158">
        <f t="shared" si="5"/>
        <v>963500</v>
      </c>
      <c r="M20" s="105" t="str">
        <f>bpjs!S18</f>
        <v>SMKN 1 KOBA</v>
      </c>
    </row>
    <row r="21" spans="1:13" ht="28" x14ac:dyDescent="0.35">
      <c r="A21" s="156" t="s">
        <v>107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1000000</v>
      </c>
      <c r="H21" s="158">
        <v>0</v>
      </c>
      <c r="I21" s="158">
        <v>1</v>
      </c>
      <c r="J21" s="158">
        <f t="shared" si="4"/>
        <v>1000000</v>
      </c>
      <c r="K21" s="158"/>
      <c r="L21" s="158">
        <f t="shared" si="5"/>
        <v>1000000</v>
      </c>
      <c r="M21" s="105" t="str">
        <f>bpjs!S19</f>
        <v>SMKN 1 KOBA</v>
      </c>
    </row>
    <row r="22" spans="1:13" ht="28" x14ac:dyDescent="0.35">
      <c r="A22" s="156" t="s">
        <v>84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1000000</v>
      </c>
      <c r="H22" s="158">
        <v>0</v>
      </c>
      <c r="I22" s="158">
        <v>1</v>
      </c>
      <c r="J22" s="158">
        <f t="shared" si="4"/>
        <v>1000000</v>
      </c>
      <c r="K22" s="158"/>
      <c r="L22" s="158">
        <f t="shared" si="5"/>
        <v>1000000</v>
      </c>
      <c r="M22" s="105" t="str">
        <f>bpjs!S20</f>
        <v>SMKN 1 KOBA</v>
      </c>
    </row>
    <row r="23" spans="1:13" ht="28" x14ac:dyDescent="0.35">
      <c r="A23" s="156" t="s">
        <v>108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979000</v>
      </c>
      <c r="H23" s="158">
        <v>0</v>
      </c>
      <c r="I23" s="158">
        <v>1</v>
      </c>
      <c r="J23" s="158">
        <f t="shared" si="4"/>
        <v>979000</v>
      </c>
      <c r="K23" s="158"/>
      <c r="L23" s="158">
        <f t="shared" si="5"/>
        <v>979000</v>
      </c>
      <c r="M23" s="105" t="str">
        <f>bpjs!S21</f>
        <v>SMKN 1 KOBA</v>
      </c>
    </row>
    <row r="24" spans="1:13" ht="28" x14ac:dyDescent="0.35">
      <c r="A24" s="156" t="s">
        <v>109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1000000</v>
      </c>
      <c r="H24" s="158">
        <v>0</v>
      </c>
      <c r="I24" s="158">
        <v>1</v>
      </c>
      <c r="J24" s="158">
        <f t="shared" si="4"/>
        <v>1000000</v>
      </c>
      <c r="K24" s="158"/>
      <c r="L24" s="158">
        <f t="shared" si="5"/>
        <v>1000000</v>
      </c>
      <c r="M24" s="105" t="str">
        <f>bpjs!S22</f>
        <v>SMKN 1 KOBA</v>
      </c>
    </row>
    <row r="25" spans="1:13" ht="42" x14ac:dyDescent="0.35">
      <c r="A25" s="156" t="s">
        <v>110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1000000</v>
      </c>
      <c r="H25" s="158">
        <v>0</v>
      </c>
      <c r="I25" s="158">
        <v>1</v>
      </c>
      <c r="J25" s="158">
        <f t="shared" si="4"/>
        <v>1000000</v>
      </c>
      <c r="K25" s="158"/>
      <c r="L25" s="158">
        <f t="shared" si="5"/>
        <v>1000000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14003500</v>
      </c>
      <c r="H26" s="159"/>
      <c r="I26" s="159"/>
      <c r="J26" s="159">
        <f>SUM(J12:J25)</f>
        <v>14003500</v>
      </c>
      <c r="K26" s="159">
        <f>SUM(K12:K25)</f>
        <v>0</v>
      </c>
      <c r="L26" s="159">
        <f>SUM(L12:L25)</f>
        <v>14003500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12" t="s">
        <v>4</v>
      </c>
      <c r="B6" s="312" t="s">
        <v>45</v>
      </c>
      <c r="C6" s="312" t="s">
        <v>22</v>
      </c>
      <c r="D6" s="312" t="s">
        <v>46</v>
      </c>
      <c r="E6" s="312" t="s">
        <v>47</v>
      </c>
      <c r="F6" s="312" t="s">
        <v>48</v>
      </c>
      <c r="G6" s="312" t="s">
        <v>49</v>
      </c>
      <c r="H6" s="312" t="s">
        <v>50</v>
      </c>
      <c r="I6" s="312" t="s">
        <v>51</v>
      </c>
      <c r="J6" s="312" t="s">
        <v>52</v>
      </c>
      <c r="K6" s="312" t="s">
        <v>53</v>
      </c>
      <c r="L6" s="314" t="s">
        <v>54</v>
      </c>
    </row>
    <row r="7" spans="1:12" ht="14.25" customHeight="1" x14ac:dyDescent="0.35">
      <c r="A7" s="313"/>
      <c r="B7" s="313"/>
      <c r="C7" s="313"/>
      <c r="D7" s="313"/>
      <c r="E7" s="313"/>
      <c r="F7" s="313"/>
      <c r="G7" s="313"/>
      <c r="H7" s="313"/>
      <c r="I7" s="313"/>
      <c r="J7" s="313"/>
      <c r="K7" s="313"/>
      <c r="L7" s="313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14003500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13862500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14003500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13862500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7" t="s">
        <v>30</v>
      </c>
      <c r="B4" s="317" t="s">
        <v>57</v>
      </c>
      <c r="C4" s="318" t="s">
        <v>58</v>
      </c>
      <c r="D4" s="318" t="s">
        <v>59</v>
      </c>
      <c r="E4" s="318" t="s">
        <v>60</v>
      </c>
      <c r="F4" s="319" t="s">
        <v>61</v>
      </c>
      <c r="G4" s="317" t="s">
        <v>62</v>
      </c>
    </row>
    <row r="5" spans="1:7" x14ac:dyDescent="0.35">
      <c r="A5" s="287"/>
      <c r="B5" s="287"/>
      <c r="C5" s="287"/>
      <c r="D5" s="287"/>
      <c r="E5" s="287"/>
      <c r="F5" s="287"/>
      <c r="G5" s="287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>
        <f>IFERROR(INDEX(rekap_tpp[], MATCH(MID(B6, FIND("NIP.", B6) + 4, LEN(B6)), INDEX(rekap_tpp[], 0, 8), 0), 15), "NIP tidak ditemukan")</f>
        <v>1100000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0</v>
      </c>
      <c r="F6" s="208">
        <f>IFERROR(INDEX(rekap_tpp[], MATCH(MID(B6, FIND("NIP.", B6) + 4, LEN(B6)), INDEX(rekap_tpp[], 0, 8), 0), 16), "NIP tidak ditemukan")</f>
        <v>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102</v>
      </c>
      <c r="B7" s="207" t="str">
        <f>bpjs!B11</f>
        <v>MARYANI
NIP.197605072024212008</v>
      </c>
      <c r="C7" s="209">
        <f>IFERROR(INDEX(rekap_tpp[], MATCH(MID(B7, FIND("NIP.", B7) + 4, LEN(B7)), INDEX(rekap_tpp[], 0, 8), 0), 15), "NIP tidak ditemukan")</f>
        <v>1000000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0</v>
      </c>
      <c r="F7" s="208">
        <f>IFERROR(INDEX(rekap_tpp[], MATCH(MID(B7, FIND("NIP.", B7) + 4, LEN(B7)), INDEX(rekap_tpp[], 0, 8), 0), 16), "NIP tidak ditemukan")</f>
        <v>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103</v>
      </c>
      <c r="B8" s="207" t="str">
        <f>bpjs!B12</f>
        <v>LIES PATMAWATI
NIP.198606272022212030</v>
      </c>
      <c r="C8" s="209">
        <f>IFERROR(INDEX(rekap_tpp[], MATCH(MID(B8, FIND("NIP.", B8) + 4, LEN(B8)), INDEX(rekap_tpp[], 0, 8), 0), 15), "NIP tidak ditemukan")</f>
        <v>996500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0</v>
      </c>
      <c r="F8" s="208">
        <f>IFERROR(INDEX(rekap_tpp[], MATCH(MID(B8, FIND("NIP.", B8) + 4, LEN(B8)), INDEX(rekap_tpp[], 0, 8), 0), 16), "NIP tidak ditemukan")</f>
        <v>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104</v>
      </c>
      <c r="B9" s="207" t="str">
        <f>bpjs!B13</f>
        <v>INDRA
NIP.198907012023211008</v>
      </c>
      <c r="C9" s="209">
        <f>IFERROR(INDEX(rekap_tpp[], MATCH(MID(B9, FIND("NIP.", B9) + 4, LEN(B9)), INDEX(rekap_tpp[], 0, 8), 0), 15), "NIP tidak ditemukan")</f>
        <v>1000000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0</v>
      </c>
      <c r="F9" s="208">
        <f>IFERROR(INDEX(rekap_tpp[], MATCH(MID(B9, FIND("NIP.", B9) + 4, LEN(B9)), INDEX(rekap_tpp[], 0, 8), 0), 16), "NIP tidak ditemukan")</f>
        <v>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105</v>
      </c>
      <c r="B10" s="207" t="str">
        <f>bpjs!B14</f>
        <v>JAPRI
NIP.198909292022211009</v>
      </c>
      <c r="C10" s="209">
        <f>IFERROR(INDEX(rekap_tpp[], MATCH(MID(B10, FIND("NIP.", B10) + 4, LEN(B10)), INDEX(rekap_tpp[], 0, 8), 0), 15), "NIP tidak ditemukan")</f>
        <v>982000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0</v>
      </c>
      <c r="F10" s="208">
        <f>IFERROR(INDEX(rekap_tpp[], MATCH(MID(B10, FIND("NIP.", B10) + 4, LEN(B10)), INDEX(rekap_tpp[], 0, 8), 0), 16), "NIP tidak ditemukan")</f>
        <v>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106</v>
      </c>
      <c r="B11" s="207" t="str">
        <f>bpjs!B15</f>
        <v>RENI PRIMANDARI
NIP.199005022024212016</v>
      </c>
      <c r="C11" s="209">
        <f>IFERROR(INDEX(rekap_tpp[], MATCH(MID(B11, FIND("NIP.", B11) + 4, LEN(B11)), INDEX(rekap_tpp[], 0, 8), 0), 15), "NIP tidak ditemukan")</f>
        <v>996500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0</v>
      </c>
      <c r="F11" s="208">
        <f>IFERROR(INDEX(rekap_tpp[], MATCH(MID(B11, FIND("NIP.", B11) + 4, LEN(B11)), INDEX(rekap_tpp[], 0, 8), 0), 16), "NIP tidak ditemukan")</f>
        <v>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85</v>
      </c>
      <c r="B12" s="207" t="str">
        <f>bpjs!B16</f>
        <v>SUTINA
NIP.199108102022212013</v>
      </c>
      <c r="C12" s="209">
        <f>IFERROR(INDEX(rekap_tpp[], MATCH(MID(B12, FIND("NIP.", B12) + 4, LEN(B12)), INDEX(rekap_tpp[], 0, 8), 0), 15), "NIP tidak ditemukan")</f>
        <v>996500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0</v>
      </c>
      <c r="F12" s="208">
        <f>IFERROR(INDEX(rekap_tpp[], MATCH(MID(B12, FIND("NIP.", B12) + 4, LEN(B12)), INDEX(rekap_tpp[], 0, 8), 0), 16), "NIP tidak ditemukan")</f>
        <v>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83</v>
      </c>
      <c r="B13" s="207" t="str">
        <f>bpjs!B17</f>
        <v>RIDWAN R
NIP.199207182023211012</v>
      </c>
      <c r="C13" s="209">
        <f>IFERROR(INDEX(rekap_tpp[], MATCH(MID(B13, FIND("NIP.", B13) + 4, LEN(B13)), INDEX(rekap_tpp[], 0, 8), 0), 15), "NIP tidak ditemukan")</f>
        <v>989500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0</v>
      </c>
      <c r="F13" s="208">
        <f>IFERROR(INDEX(rekap_tpp[], MATCH(MID(B13, FIND("NIP.", B13) + 4, LEN(B13)), INDEX(rekap_tpp[], 0, 8), 0), 16), "NIP tidak ditemukan")</f>
        <v>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82</v>
      </c>
      <c r="B14" s="207" t="str">
        <f>bpjs!B18</f>
        <v>DEFRI HANDARA
NIP.199304242022211009</v>
      </c>
      <c r="C14" s="209">
        <f>IFERROR(INDEX(rekap_tpp[], MATCH(MID(B14, FIND("NIP.", B14) + 4, LEN(B14)), INDEX(rekap_tpp[], 0, 8), 0), 15), "NIP tidak ditemukan")</f>
        <v>963500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0</v>
      </c>
      <c r="F14" s="208">
        <f>IFERROR(INDEX(rekap_tpp[], MATCH(MID(B14, FIND("NIP.", B14) + 4, LEN(B14)), INDEX(rekap_tpp[], 0, 8), 0), 16), "NIP tidak ditemukan")</f>
        <v>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107</v>
      </c>
      <c r="B15" s="207" t="str">
        <f>bpjs!B19</f>
        <v>RIZKI FARADILLA
NIP.199412232022212012</v>
      </c>
      <c r="C15" s="209">
        <f>IFERROR(INDEX(rekap_tpp[], MATCH(MID(B15, FIND("NIP.", B15) + 4, LEN(B15)), INDEX(rekap_tpp[], 0, 8), 0), 15), "NIP tidak ditemukan")</f>
        <v>1000000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0</v>
      </c>
      <c r="F15" s="208">
        <f>IFERROR(INDEX(rekap_tpp[], MATCH(MID(B15, FIND("NIP.", B15) + 4, LEN(B15)), INDEX(rekap_tpp[], 0, 8), 0), 16), "NIP tidak ditemukan")</f>
        <v>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84</v>
      </c>
      <c r="B16" s="207" t="str">
        <f>bpjs!B20</f>
        <v>JESSIKA ARYANI JUNIARTI
NIP.199506302024212034</v>
      </c>
      <c r="C16" s="209">
        <f>IFERROR(INDEX(rekap_tpp[], MATCH(MID(B16, FIND("NIP.", B16) + 4, LEN(B16)), INDEX(rekap_tpp[], 0, 8), 0), 15), "NIP tidak ditemukan")</f>
        <v>1000000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0</v>
      </c>
      <c r="F16" s="208">
        <f>IFERROR(INDEX(rekap_tpp[], MATCH(MID(B16, FIND("NIP.", B16) + 4, LEN(B16)), INDEX(rekap_tpp[], 0, 8), 0), 16), "NIP tidak ditemukan")</f>
        <v>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108</v>
      </c>
      <c r="B17" s="207" t="str">
        <f>bpjs!B21</f>
        <v>RIZKY CAHYANI INTAN
NIP.199904082024212014</v>
      </c>
      <c r="C17" s="209">
        <f>IFERROR(INDEX(rekap_tpp[], MATCH(MID(B17, FIND("NIP.", B17) + 4, LEN(B17)), INDEX(rekap_tpp[], 0, 8), 0), 15), "NIP tidak ditemukan")</f>
        <v>979000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0</v>
      </c>
      <c r="F17" s="208">
        <f>IFERROR(INDEX(rekap_tpp[], MATCH(MID(B17, FIND("NIP.", B17) + 4, LEN(B17)), INDEX(rekap_tpp[], 0, 8), 0), 16), "NIP tidak ditemukan")</f>
        <v>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109</v>
      </c>
      <c r="B18" s="207" t="str">
        <f>bpjs!B22</f>
        <v>DANANG YULIANTO
NIP.199907172024211005</v>
      </c>
      <c r="C18" s="209">
        <f>IFERROR(INDEX(rekap_tpp[], MATCH(MID(B18, FIND("NIP.", B18) + 4, LEN(B18)), INDEX(rekap_tpp[], 0, 8), 0), 15), "NIP tidak ditemukan")</f>
        <v>1000000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0</v>
      </c>
      <c r="F18" s="208">
        <f>IFERROR(INDEX(rekap_tpp[], MATCH(MID(B18, FIND("NIP.", B18) + 4, LEN(B18)), INDEX(rekap_tpp[], 0, 8), 0), 16), "NIP tidak ditemukan")</f>
        <v>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110</v>
      </c>
      <c r="B19" s="207" t="str">
        <f>bpjs!B23</f>
        <v>MUHAMMAD ARIF
SYA'BANI
NIP.199911122024211006</v>
      </c>
      <c r="C19" s="209">
        <f>IFERROR(INDEX(rekap_tpp[], MATCH(MID(B19, FIND("NIP.", B19) + 4, LEN(B19)), INDEX(rekap_tpp[], 0, 8), 0), 15), "NIP tidak ditemukan")</f>
        <v>1000000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0</v>
      </c>
      <c r="F19" s="208">
        <f>IFERROR(INDEX(rekap_tpp[], MATCH(MID(B19, FIND("NIP.", B19) + 4, LEN(B19)), INDEX(rekap_tpp[], 0, 8), 0), 16), "NIP tidak ditemukan")</f>
        <v>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5" t="s">
        <v>23</v>
      </c>
      <c r="B20" s="300"/>
      <c r="C20" s="210">
        <f>SUM(C6:C19)</f>
        <v>14003500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6"/>
      <c r="B22" s="289"/>
      <c r="C22" s="289"/>
      <c r="D22" s="289"/>
      <c r="E22" s="289"/>
      <c r="F22" s="289"/>
      <c r="G22" s="290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4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20"/>
      <c r="B6" s="321"/>
      <c r="C6" s="321"/>
      <c r="D6" s="321"/>
      <c r="E6" s="321"/>
      <c r="F6" s="321"/>
      <c r="G6" s="321"/>
      <c r="H6" s="321"/>
      <c r="I6" s="321"/>
      <c r="J6" s="321"/>
      <c r="K6" s="322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113</v>
      </c>
      <c r="H7" s="86" t="s">
        <v>114</v>
      </c>
      <c r="I7" s="85" t="s">
        <v>69</v>
      </c>
      <c r="J7" s="132" t="s">
        <v>115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>
        <f>IFERROR(INDEX(rekap_tpp[], MATCH(MID(B8, FIND("NIP.", B8) + 4, LEN(B8)), INDEX(rekap_tpp[], 0, 8), 0), 11), "NIP tidak ditemukan")</f>
        <v>1610800075</v>
      </c>
      <c r="E8" s="138" t="str">
        <f>TRIM(CLEAN(LEFT(B8,FIND("NIP",B8)-1)))</f>
        <v>BASRI</v>
      </c>
      <c r="F8" s="163">
        <f>bpjs!R10</f>
        <v>1089000</v>
      </c>
      <c r="G8" s="164"/>
      <c r="H8" s="164"/>
      <c r="I8" s="165"/>
      <c r="J8" s="166">
        <f t="shared" ref="J8" si="1">F8-G8-H8-I8</f>
        <v>1089000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102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103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>
        <f>IFERROR(INDEX(rekap_tpp[], MATCH(MID(B10, FIND("NIP.", B10) + 4, LEN(B10)), INDEX(rekap_tpp[], 0, 8), 0), 11), "NIP tidak ditemukan")</f>
        <v>1820903520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104</v>
      </c>
      <c r="B11" s="136" t="str">
        <f>'daftar nominatif'!B15</f>
        <v>INDRA
NIP.198907012023211008</v>
      </c>
      <c r="C11" s="136" t="str">
        <f t="shared" si="2"/>
        <v>198907012023211008</v>
      </c>
      <c r="D11" s="137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990000</v>
      </c>
      <c r="G11" s="164"/>
      <c r="H11" s="164"/>
      <c r="I11" s="165"/>
      <c r="J11" s="166">
        <f t="shared" si="4"/>
        <v>990000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105</v>
      </c>
      <c r="B12" s="136" t="str">
        <f>'daftar nominatif'!B16</f>
        <v>JAPRI
NIP.198909292022211009</v>
      </c>
      <c r="C12" s="136" t="str">
        <f t="shared" si="2"/>
        <v>198909292022211009</v>
      </c>
      <c r="D12" s="137">
        <f>IFERROR(INDEX(rekap_tpp[], MATCH(MID(B12, FIND("NIP.", B12) + 4, LEN(B12)), INDEX(rekap_tpp[], 0, 8), 0), 11), "NIP tidak ditemukan")</f>
        <v>1610906064</v>
      </c>
      <c r="E12" s="138" t="str">
        <f t="shared" si="3"/>
        <v>JAPRI</v>
      </c>
      <c r="F12" s="163">
        <f>bpjs!R14</f>
        <v>972000</v>
      </c>
      <c r="G12" s="164"/>
      <c r="H12" s="164"/>
      <c r="I12" s="165"/>
      <c r="J12" s="166">
        <f t="shared" si="4"/>
        <v>972000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106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986500</v>
      </c>
      <c r="G13" s="164"/>
      <c r="H13" s="164"/>
      <c r="I13" s="165"/>
      <c r="J13" s="166">
        <f t="shared" si="4"/>
        <v>986500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85</v>
      </c>
      <c r="B14" s="136" t="str">
        <f>'daftar nominatif'!B18</f>
        <v>SUTINA
NIP.199108102022212013</v>
      </c>
      <c r="C14" s="136" t="str">
        <f t="shared" si="2"/>
        <v>199108102022212013</v>
      </c>
      <c r="D14" s="137">
        <f>IFERROR(INDEX(rekap_tpp[], MATCH(MID(B14, FIND("NIP.", B14) + 4, LEN(B14)), INDEX(rekap_tpp[], 0, 8), 0), 11), "NIP tidak ditemukan")</f>
        <v>1440924881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83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>
        <f>IFERROR(INDEX(rekap_tpp[], MATCH(MID(B15, FIND("NIP.", B15) + 4, LEN(B15)), INDEX(rekap_tpp[], 0, 8), 0), 11), "NIP tidak ditemukan")</f>
        <v>16109012260</v>
      </c>
      <c r="E15" s="138" t="str">
        <f t="shared" si="3"/>
        <v>RIDWAN R</v>
      </c>
      <c r="F15" s="163">
        <f>bpjs!R17</f>
        <v>979500</v>
      </c>
      <c r="G15" s="164"/>
      <c r="H15" s="164"/>
      <c r="I15" s="165"/>
      <c r="J15" s="166">
        <f t="shared" si="4"/>
        <v>979500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82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>
        <f>IFERROR(INDEX(rekap_tpp[], MATCH(MID(B16, FIND("NIP.", B16) + 4, LEN(B16)), INDEX(rekap_tpp[], 0, 8), 0), 11), "NIP tidak ditemukan")</f>
        <v>16109012254</v>
      </c>
      <c r="E16" s="138" t="str">
        <f t="shared" si="3"/>
        <v>DEFRI HANDARA</v>
      </c>
      <c r="F16" s="163">
        <f>bpjs!R18</f>
        <v>953500</v>
      </c>
      <c r="G16" s="164"/>
      <c r="H16" s="164"/>
      <c r="I16" s="165"/>
      <c r="J16" s="166">
        <f t="shared" si="4"/>
        <v>953500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107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>
        <f>IFERROR(INDEX(rekap_tpp[], MATCH(MID(B17, FIND("NIP.", B17) + 4, LEN(B17)), INDEX(rekap_tpp[], 0, 8), 0), 11), "NIP tidak ditemukan")</f>
        <v>1610906183</v>
      </c>
      <c r="E17" s="138" t="str">
        <f t="shared" si="3"/>
        <v>RIZKI FARADILLA</v>
      </c>
      <c r="F17" s="163">
        <f>bpjs!R19</f>
        <v>990000</v>
      </c>
      <c r="G17" s="164"/>
      <c r="H17" s="164"/>
      <c r="I17" s="165"/>
      <c r="J17" s="166">
        <f t="shared" si="4"/>
        <v>990000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84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990000</v>
      </c>
      <c r="G18" s="164"/>
      <c r="H18" s="164"/>
      <c r="I18" s="165"/>
      <c r="J18" s="166">
        <f t="shared" si="4"/>
        <v>990000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108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969000</v>
      </c>
      <c r="G19" s="164"/>
      <c r="H19" s="164"/>
      <c r="I19" s="165"/>
      <c r="J19" s="166">
        <f t="shared" si="4"/>
        <v>969000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109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990000</v>
      </c>
      <c r="G20" s="164"/>
      <c r="H20" s="164"/>
      <c r="I20" s="165"/>
      <c r="J20" s="166">
        <f t="shared" si="4"/>
        <v>990000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110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990000</v>
      </c>
      <c r="G21" s="164"/>
      <c r="H21" s="164"/>
      <c r="I21" s="165"/>
      <c r="J21" s="166">
        <f t="shared" si="4"/>
        <v>990000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13862500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13862500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7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3" customWidth="1"/>
    <col min="2" max="2" width="17.7265625" style="263" customWidth="1"/>
    <col min="3" max="3" width="60.1796875" style="263" customWidth="1"/>
    <col min="4" max="16384" width="8.7265625" style="263"/>
  </cols>
  <sheetData>
    <row r="1" spans="1:3" x14ac:dyDescent="0.35">
      <c r="A1" s="262"/>
    </row>
    <row r="2" spans="1:3" ht="15.5" x14ac:dyDescent="0.35">
      <c r="B2" s="264"/>
    </row>
    <row r="3" spans="1:3" ht="15.5" x14ac:dyDescent="0.35">
      <c r="B3" s="264"/>
    </row>
    <row r="4" spans="1:3" ht="15.5" x14ac:dyDescent="0.35">
      <c r="B4" s="264"/>
    </row>
    <row r="5" spans="1:3" ht="15.5" x14ac:dyDescent="0.35">
      <c r="B5" s="264"/>
    </row>
    <row r="6" spans="1:3" ht="15.5" x14ac:dyDescent="0.35">
      <c r="B6" s="264"/>
    </row>
    <row r="7" spans="1:3" ht="15.5" x14ac:dyDescent="0.35">
      <c r="B7" s="264"/>
    </row>
    <row r="8" spans="1:3" x14ac:dyDescent="0.35">
      <c r="A8" s="323" t="s">
        <v>193</v>
      </c>
      <c r="B8" s="323"/>
      <c r="C8" s="323"/>
    </row>
    <row r="9" spans="1:3" x14ac:dyDescent="0.35">
      <c r="B9" s="265"/>
    </row>
    <row r="10" spans="1:3" x14ac:dyDescent="0.35">
      <c r="A10" s="266" t="s">
        <v>194</v>
      </c>
    </row>
    <row r="11" spans="1:3" x14ac:dyDescent="0.35">
      <c r="B11" s="266"/>
    </row>
    <row r="12" spans="1:3" x14ac:dyDescent="0.35">
      <c r="B12" s="267" t="s">
        <v>195</v>
      </c>
      <c r="C12" s="266" t="s">
        <v>206</v>
      </c>
    </row>
    <row r="13" spans="1:3" x14ac:dyDescent="0.35">
      <c r="B13" s="267" t="s">
        <v>6</v>
      </c>
      <c r="C13" s="268" t="s">
        <v>86</v>
      </c>
    </row>
    <row r="14" spans="1:3" x14ac:dyDescent="0.35">
      <c r="B14" s="267" t="s">
        <v>196</v>
      </c>
      <c r="C14" s="266" t="s">
        <v>197</v>
      </c>
    </row>
    <row r="15" spans="1:3" x14ac:dyDescent="0.35">
      <c r="B15" s="269"/>
    </row>
    <row r="16" spans="1:3" x14ac:dyDescent="0.35">
      <c r="A16" s="266" t="s">
        <v>198</v>
      </c>
    </row>
    <row r="17" spans="1:8" x14ac:dyDescent="0.35">
      <c r="B17" s="266"/>
    </row>
    <row r="18" spans="1:8" ht="101" customHeight="1" x14ac:dyDescent="0.35">
      <c r="A18" s="273" t="s">
        <v>199</v>
      </c>
      <c r="B18" s="324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14.003.500,- (empat belas juta tiga ribu lima ratus rupiah) untuk bulan Juli 2026 telah dihitung dengan benar berdasarkan dokumen pelaksanaan anggaran dan dokumen pendukung lainnya.</v>
      </c>
      <c r="C18" s="324"/>
      <c r="H18" s="272"/>
    </row>
    <row r="19" spans="1:8" ht="61" customHeight="1" x14ac:dyDescent="0.35">
      <c r="A19" s="273" t="s">
        <v>200</v>
      </c>
      <c r="B19" s="324" t="s">
        <v>201</v>
      </c>
      <c r="C19" s="324"/>
    </row>
    <row r="20" spans="1:8" ht="94.5" customHeight="1" x14ac:dyDescent="0.35">
      <c r="A20" s="273" t="s">
        <v>202</v>
      </c>
      <c r="B20" s="324" t="s">
        <v>203</v>
      </c>
      <c r="C20" s="324"/>
    </row>
    <row r="21" spans="1:8" ht="15.5" x14ac:dyDescent="0.35">
      <c r="A21" s="274"/>
      <c r="B21" s="274"/>
      <c r="C21" s="275" t="str">
        <f>"Koba,        "&amp;TEXT(EDATE(bpjs!C5,1),"mmmm yyyy")</f>
        <v>Koba,        Agustus 2026</v>
      </c>
      <c r="D21" s="271"/>
    </row>
    <row r="22" spans="1:8" ht="15.5" x14ac:dyDescent="0.35">
      <c r="A22" s="274"/>
      <c r="B22" s="274"/>
      <c r="C22" s="275" t="s">
        <v>204</v>
      </c>
    </row>
    <row r="23" spans="1:8" x14ac:dyDescent="0.35">
      <c r="C23" s="270"/>
    </row>
    <row r="24" spans="1:8" x14ac:dyDescent="0.35">
      <c r="C24" s="270"/>
    </row>
    <row r="25" spans="1:8" x14ac:dyDescent="0.35">
      <c r="C25" s="270"/>
    </row>
    <row r="26" spans="1:8" x14ac:dyDescent="0.35">
      <c r="C26" s="270"/>
    </row>
    <row r="27" spans="1:8" x14ac:dyDescent="0.35">
      <c r="C27" s="270"/>
    </row>
    <row r="28" spans="1:8" x14ac:dyDescent="0.35">
      <c r="C28" s="270" t="s">
        <v>206</v>
      </c>
    </row>
    <row r="29" spans="1:8" x14ac:dyDescent="0.35">
      <c r="C29" s="270" t="s">
        <v>205</v>
      </c>
    </row>
    <row r="30" spans="1:8" x14ac:dyDescent="0.35">
      <c r="B30" s="266"/>
    </row>
    <row r="31" spans="1:8" x14ac:dyDescent="0.35">
      <c r="B31" s="266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3"/>
  <sheetViews>
    <sheetView showGridLines="0" tabSelected="1" zoomScale="57" workbookViewId="0">
      <selection activeCell="C23" sqref="C23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style="278" bestFit="1" customWidth="1"/>
    <col min="9" max="9" width="14.26953125" style="281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style="278" bestFit="1" customWidth="1"/>
    <col min="21" max="21" width="17" bestFit="1" customWidth="1"/>
    <col min="22" max="22" width="15.54296875" bestFit="1" customWidth="1"/>
    <col min="23" max="23" width="27.1796875" bestFit="1" customWidth="1"/>
    <col min="24" max="24" width="80.7265625" bestFit="1" customWidth="1"/>
    <col min="25" max="26" width="23.7265625" bestFit="1" customWidth="1"/>
    <col min="27" max="27" width="17.81640625" bestFit="1" customWidth="1"/>
    <col min="28" max="28" width="16.1796875" bestFit="1" customWidth="1"/>
    <col min="29" max="29" width="36.26953125" bestFit="1" customWidth="1"/>
    <col min="30" max="30" width="14.7265625" bestFit="1" customWidth="1"/>
    <col min="31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6" t="s">
        <v>75</v>
      </c>
      <c r="B1" s="276" t="s">
        <v>102</v>
      </c>
      <c r="C1" s="276" t="s">
        <v>103</v>
      </c>
      <c r="D1" s="276" t="s">
        <v>104</v>
      </c>
      <c r="E1" s="276" t="s">
        <v>105</v>
      </c>
      <c r="F1" s="276" t="s">
        <v>106</v>
      </c>
      <c r="G1" s="276" t="s">
        <v>85</v>
      </c>
      <c r="H1" s="277" t="s">
        <v>83</v>
      </c>
      <c r="I1" s="280" t="s">
        <v>82</v>
      </c>
      <c r="J1" s="276" t="s">
        <v>107</v>
      </c>
      <c r="K1" s="276" t="s">
        <v>84</v>
      </c>
      <c r="L1" s="276" t="s">
        <v>108</v>
      </c>
      <c r="M1" s="276" t="s">
        <v>109</v>
      </c>
      <c r="N1" s="276" t="s">
        <v>110</v>
      </c>
      <c r="O1" s="276" t="s">
        <v>330</v>
      </c>
      <c r="P1" s="276" t="s">
        <v>331</v>
      </c>
      <c r="Q1" s="276" t="s">
        <v>332</v>
      </c>
      <c r="R1" s="276" t="s">
        <v>333</v>
      </c>
      <c r="S1" s="276" t="s">
        <v>334</v>
      </c>
      <c r="T1" s="277" t="s">
        <v>335</v>
      </c>
      <c r="U1" s="276" t="s">
        <v>336</v>
      </c>
      <c r="V1" s="276" t="s">
        <v>337</v>
      </c>
      <c r="W1" s="276" t="s">
        <v>338</v>
      </c>
      <c r="X1" s="276" t="s">
        <v>339</v>
      </c>
      <c r="Y1" s="276" t="s">
        <v>340</v>
      </c>
      <c r="Z1" s="276" t="s">
        <v>341</v>
      </c>
      <c r="AA1" s="276" t="s">
        <v>342</v>
      </c>
      <c r="AB1" s="276" t="s">
        <v>343</v>
      </c>
      <c r="AC1" s="276" t="s">
        <v>344</v>
      </c>
      <c r="AD1" s="276" t="s">
        <v>345</v>
      </c>
      <c r="AE1" s="276" t="s">
        <v>346</v>
      </c>
      <c r="AF1" s="276" t="s">
        <v>347</v>
      </c>
      <c r="AG1" s="276"/>
      <c r="AH1" s="276"/>
    </row>
    <row r="2" spans="1:34" x14ac:dyDescent="0.35">
      <c r="A2" t="s">
        <v>211</v>
      </c>
      <c r="B2" t="s">
        <v>212</v>
      </c>
      <c r="C2" t="s">
        <v>213</v>
      </c>
      <c r="D2" t="s">
        <v>33</v>
      </c>
      <c r="E2" t="s">
        <v>214</v>
      </c>
      <c r="F2" t="s">
        <v>215</v>
      </c>
      <c r="G2" t="s">
        <v>216</v>
      </c>
      <c r="H2" s="278" t="s">
        <v>6</v>
      </c>
      <c r="I2" s="281" t="s">
        <v>217</v>
      </c>
      <c r="J2" t="s">
        <v>218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226</v>
      </c>
      <c r="S2" t="s">
        <v>227</v>
      </c>
      <c r="T2" s="278" t="s">
        <v>228</v>
      </c>
      <c r="U2" t="s">
        <v>229</v>
      </c>
      <c r="V2" t="s">
        <v>230</v>
      </c>
      <c r="W2" t="s">
        <v>231</v>
      </c>
      <c r="X2" t="s">
        <v>232</v>
      </c>
      <c r="Y2" t="s">
        <v>233</v>
      </c>
      <c r="Z2" t="s">
        <v>234</v>
      </c>
      <c r="AA2" t="s">
        <v>235</v>
      </c>
      <c r="AB2" t="s">
        <v>236</v>
      </c>
      <c r="AC2" t="s">
        <v>237</v>
      </c>
      <c r="AD2" t="s">
        <v>155</v>
      </c>
      <c r="AE2" t="s">
        <v>238</v>
      </c>
      <c r="AG2"/>
      <c r="AH2"/>
    </row>
    <row r="3" spans="1:34" x14ac:dyDescent="0.35">
      <c r="A3" s="206" t="s">
        <v>239</v>
      </c>
      <c r="B3" s="206" t="s">
        <v>148</v>
      </c>
      <c r="C3" s="206" t="s">
        <v>149</v>
      </c>
      <c r="D3" s="206">
        <v>9</v>
      </c>
      <c r="E3" s="206">
        <v>1626000</v>
      </c>
      <c r="F3" s="206">
        <v>0</v>
      </c>
      <c r="G3" s="206">
        <v>1626000</v>
      </c>
      <c r="H3" s="279" t="s">
        <v>351</v>
      </c>
      <c r="I3" s="281">
        <v>26394</v>
      </c>
      <c r="J3" s="206" t="s">
        <v>158</v>
      </c>
      <c r="K3" s="206">
        <v>1610102532</v>
      </c>
      <c r="L3" s="206" t="s">
        <v>240</v>
      </c>
      <c r="M3" s="206">
        <v>5452600</v>
      </c>
      <c r="N3" s="206" t="s">
        <v>241</v>
      </c>
      <c r="O3" s="206">
        <v>666660</v>
      </c>
      <c r="P3" s="206">
        <v>0</v>
      </c>
      <c r="Q3" s="206">
        <v>0</v>
      </c>
      <c r="R3" s="206">
        <v>959340</v>
      </c>
      <c r="S3" s="206">
        <v>0</v>
      </c>
      <c r="T3" s="279" t="s">
        <v>352</v>
      </c>
      <c r="U3" s="206">
        <v>2</v>
      </c>
      <c r="V3" s="206">
        <v>1</v>
      </c>
      <c r="W3" s="206">
        <v>24</v>
      </c>
      <c r="X3" s="206" t="s">
        <v>242</v>
      </c>
      <c r="Y3" s="206">
        <v>1</v>
      </c>
      <c r="Z3" s="206">
        <v>1</v>
      </c>
      <c r="AA3" s="206">
        <v>1</v>
      </c>
      <c r="AB3" s="206" t="s">
        <v>243</v>
      </c>
      <c r="AC3" s="206">
        <v>1610102532</v>
      </c>
      <c r="AD3" s="206" t="s">
        <v>244</v>
      </c>
      <c r="AE3" s="206">
        <v>83635</v>
      </c>
      <c r="AG3"/>
      <c r="AH3"/>
    </row>
    <row r="4" spans="1:34" x14ac:dyDescent="0.35">
      <c r="A4" s="206" t="s">
        <v>245</v>
      </c>
      <c r="B4" s="206" t="s">
        <v>153</v>
      </c>
      <c r="C4" s="206" t="s">
        <v>154</v>
      </c>
      <c r="D4" s="206">
        <v>8</v>
      </c>
      <c r="E4" s="206">
        <v>1606000</v>
      </c>
      <c r="F4" s="206">
        <v>0</v>
      </c>
      <c r="G4" s="206">
        <v>1606000</v>
      </c>
      <c r="H4" s="279" t="s">
        <v>353</v>
      </c>
      <c r="I4" s="281">
        <v>31669</v>
      </c>
      <c r="J4" s="206" t="s">
        <v>172</v>
      </c>
      <c r="K4" s="206">
        <v>16109001439</v>
      </c>
      <c r="L4" s="206" t="s">
        <v>240</v>
      </c>
      <c r="M4" s="206">
        <v>3513600</v>
      </c>
      <c r="N4" s="206" t="s">
        <v>246</v>
      </c>
      <c r="O4" s="206">
        <v>835120</v>
      </c>
      <c r="P4" s="206">
        <v>0</v>
      </c>
      <c r="Q4" s="206">
        <v>0</v>
      </c>
      <c r="R4" s="206">
        <v>770880</v>
      </c>
      <c r="S4" s="206">
        <v>0</v>
      </c>
      <c r="T4" s="279" t="s">
        <v>354</v>
      </c>
      <c r="U4" s="206">
        <v>2</v>
      </c>
      <c r="V4" s="206">
        <v>1</v>
      </c>
      <c r="W4" s="206">
        <v>6</v>
      </c>
      <c r="X4" s="206" t="s">
        <v>247</v>
      </c>
      <c r="Y4" s="206">
        <v>2</v>
      </c>
      <c r="Z4" s="206">
        <v>0</v>
      </c>
      <c r="AA4" s="206">
        <v>0</v>
      </c>
      <c r="AB4" s="206" t="s">
        <v>243</v>
      </c>
      <c r="AC4" s="206">
        <v>16109001439</v>
      </c>
      <c r="AD4" s="206" t="s">
        <v>244</v>
      </c>
      <c r="AE4" s="206">
        <v>65535</v>
      </c>
    </row>
    <row r="5" spans="1:34" x14ac:dyDescent="0.35">
      <c r="A5" s="206" t="s">
        <v>248</v>
      </c>
      <c r="B5" s="206" t="s">
        <v>21</v>
      </c>
      <c r="C5" s="206" t="s">
        <v>210</v>
      </c>
      <c r="D5" s="206">
        <v>8</v>
      </c>
      <c r="E5" s="206">
        <v>1100000</v>
      </c>
      <c r="F5" s="206">
        <v>0</v>
      </c>
      <c r="G5" s="206">
        <v>1100000</v>
      </c>
      <c r="H5" s="279" t="s">
        <v>355</v>
      </c>
      <c r="I5" s="281">
        <v>24572</v>
      </c>
      <c r="J5" s="206" t="s">
        <v>179</v>
      </c>
      <c r="K5" s="206">
        <v>1610800075</v>
      </c>
      <c r="L5" s="206" t="s">
        <v>240</v>
      </c>
      <c r="M5" s="206">
        <v>4058600</v>
      </c>
      <c r="N5" s="206" t="s">
        <v>249</v>
      </c>
      <c r="O5" s="206">
        <v>1100000</v>
      </c>
      <c r="P5" s="206">
        <v>0</v>
      </c>
      <c r="Q5" s="206">
        <v>0</v>
      </c>
      <c r="R5" s="206">
        <v>0</v>
      </c>
      <c r="S5" s="206">
        <v>0</v>
      </c>
      <c r="T5" s="279" t="s">
        <v>356</v>
      </c>
      <c r="U5" s="206">
        <v>2</v>
      </c>
      <c r="V5" s="206">
        <v>2</v>
      </c>
      <c r="W5" s="206">
        <v>2</v>
      </c>
      <c r="X5" s="206" t="s">
        <v>250</v>
      </c>
      <c r="Y5" s="206">
        <v>1</v>
      </c>
      <c r="Z5" s="206">
        <v>1</v>
      </c>
      <c r="AA5" s="206">
        <v>0</v>
      </c>
      <c r="AB5" s="206" t="s">
        <v>243</v>
      </c>
      <c r="AC5" s="206">
        <v>1610800075</v>
      </c>
      <c r="AD5" s="206" t="s">
        <v>244</v>
      </c>
      <c r="AE5" s="206">
        <v>65535</v>
      </c>
    </row>
    <row r="6" spans="1:34" x14ac:dyDescent="0.35">
      <c r="A6" s="206" t="s">
        <v>251</v>
      </c>
      <c r="B6" s="206" t="s">
        <v>21</v>
      </c>
      <c r="C6" s="206" t="s">
        <v>210</v>
      </c>
      <c r="D6" s="206">
        <v>8</v>
      </c>
      <c r="E6" s="206">
        <v>1000000</v>
      </c>
      <c r="F6" s="206">
        <v>0</v>
      </c>
      <c r="G6" s="206">
        <v>1000000</v>
      </c>
      <c r="H6" s="279" t="s">
        <v>357</v>
      </c>
      <c r="I6" s="281">
        <v>36358</v>
      </c>
      <c r="J6" s="206" t="s">
        <v>191</v>
      </c>
      <c r="K6" s="206">
        <v>1440966672</v>
      </c>
      <c r="L6" s="206" t="s">
        <v>240</v>
      </c>
      <c r="M6" s="206">
        <v>3949000</v>
      </c>
      <c r="N6" s="206" t="s">
        <v>249</v>
      </c>
      <c r="O6" s="206">
        <v>1000000</v>
      </c>
      <c r="P6" s="206">
        <v>0</v>
      </c>
      <c r="Q6" s="206">
        <v>0</v>
      </c>
      <c r="R6" s="206">
        <v>0</v>
      </c>
      <c r="S6" s="206">
        <v>0</v>
      </c>
      <c r="T6" s="279" t="s">
        <v>358</v>
      </c>
      <c r="U6" s="206">
        <v>2</v>
      </c>
      <c r="V6" s="206">
        <v>2</v>
      </c>
      <c r="W6" s="206">
        <v>0</v>
      </c>
      <c r="X6" s="206" t="s">
        <v>252</v>
      </c>
      <c r="Y6" s="206">
        <v>1</v>
      </c>
      <c r="Z6" s="206">
        <v>1</v>
      </c>
      <c r="AA6" s="206">
        <v>0</v>
      </c>
      <c r="AB6" s="206" t="s">
        <v>243</v>
      </c>
      <c r="AC6" s="206">
        <v>1440966672</v>
      </c>
      <c r="AD6" s="206" t="s">
        <v>244</v>
      </c>
      <c r="AE6" s="206">
        <v>65535</v>
      </c>
    </row>
    <row r="7" spans="1:34" x14ac:dyDescent="0.35">
      <c r="A7" s="206" t="s">
        <v>253</v>
      </c>
      <c r="B7" s="206" t="s">
        <v>153</v>
      </c>
      <c r="C7" s="206" t="s">
        <v>154</v>
      </c>
      <c r="D7" s="206">
        <v>8</v>
      </c>
      <c r="E7" s="206">
        <v>1606000</v>
      </c>
      <c r="F7" s="206">
        <v>0</v>
      </c>
      <c r="G7" s="206">
        <v>1606000</v>
      </c>
      <c r="H7" s="279" t="s">
        <v>359</v>
      </c>
      <c r="I7" s="281">
        <v>32895</v>
      </c>
      <c r="J7" s="206" t="s">
        <v>178</v>
      </c>
      <c r="K7" s="206">
        <v>15509001575</v>
      </c>
      <c r="L7" s="206" t="s">
        <v>240</v>
      </c>
      <c r="M7" s="206">
        <v>3959700</v>
      </c>
      <c r="N7" s="206" t="s">
        <v>254</v>
      </c>
      <c r="O7" s="206">
        <v>835120</v>
      </c>
      <c r="P7" s="206">
        <v>0</v>
      </c>
      <c r="Q7" s="206">
        <v>0</v>
      </c>
      <c r="R7" s="206">
        <v>770880</v>
      </c>
      <c r="S7" s="206">
        <v>0</v>
      </c>
      <c r="T7" s="279" t="s">
        <v>360</v>
      </c>
      <c r="U7" s="206">
        <v>2</v>
      </c>
      <c r="V7" s="206">
        <v>1</v>
      </c>
      <c r="W7" s="206">
        <v>6</v>
      </c>
      <c r="X7" s="206" t="s">
        <v>255</v>
      </c>
      <c r="Y7" s="206">
        <v>1</v>
      </c>
      <c r="Z7" s="206">
        <v>1</v>
      </c>
      <c r="AA7" s="206">
        <v>2</v>
      </c>
      <c r="AB7" s="206" t="s">
        <v>243</v>
      </c>
      <c r="AC7" s="206">
        <v>15509001575</v>
      </c>
      <c r="AD7" s="206" t="s">
        <v>244</v>
      </c>
      <c r="AE7" s="206">
        <v>65535</v>
      </c>
    </row>
    <row r="8" spans="1:34" x14ac:dyDescent="0.35">
      <c r="A8" s="206" t="s">
        <v>256</v>
      </c>
      <c r="B8" s="206" t="s">
        <v>21</v>
      </c>
      <c r="C8" s="206" t="s">
        <v>210</v>
      </c>
      <c r="D8" s="206">
        <v>8</v>
      </c>
      <c r="E8" s="206">
        <v>1000000</v>
      </c>
      <c r="F8" s="206">
        <v>36500</v>
      </c>
      <c r="G8" s="206">
        <v>963500</v>
      </c>
      <c r="H8" s="279" t="s">
        <v>361</v>
      </c>
      <c r="I8" s="281">
        <v>34083</v>
      </c>
      <c r="J8" s="206" t="s">
        <v>187</v>
      </c>
      <c r="K8" s="206">
        <v>16109012254</v>
      </c>
      <c r="L8" s="206" t="s">
        <v>240</v>
      </c>
      <c r="M8" s="206">
        <v>4196300</v>
      </c>
      <c r="N8" s="206" t="s">
        <v>249</v>
      </c>
      <c r="O8" s="206">
        <v>963500</v>
      </c>
      <c r="P8" s="206">
        <v>0</v>
      </c>
      <c r="Q8" s="206">
        <v>0</v>
      </c>
      <c r="R8" s="206">
        <v>0</v>
      </c>
      <c r="S8" s="206">
        <v>0</v>
      </c>
      <c r="T8" s="279" t="s">
        <v>362</v>
      </c>
      <c r="U8" s="206">
        <v>2</v>
      </c>
      <c r="V8" s="206">
        <v>2</v>
      </c>
      <c r="W8" s="206">
        <v>2</v>
      </c>
      <c r="X8" s="206" t="s">
        <v>257</v>
      </c>
      <c r="Y8" s="206">
        <v>1</v>
      </c>
      <c r="Z8" s="206">
        <v>1</v>
      </c>
      <c r="AA8" s="206">
        <v>1</v>
      </c>
      <c r="AB8" s="206" t="s">
        <v>243</v>
      </c>
      <c r="AC8" s="206">
        <v>1610905992</v>
      </c>
      <c r="AD8" s="206" t="s">
        <v>244</v>
      </c>
      <c r="AE8" s="206">
        <v>65535</v>
      </c>
    </row>
    <row r="9" spans="1:34" x14ac:dyDescent="0.35">
      <c r="A9" s="206" t="s">
        <v>258</v>
      </c>
      <c r="B9" s="206" t="s">
        <v>148</v>
      </c>
      <c r="C9" s="206" t="s">
        <v>149</v>
      </c>
      <c r="D9" s="206">
        <v>9</v>
      </c>
      <c r="E9" s="206">
        <v>1626000</v>
      </c>
      <c r="F9" s="206">
        <v>17073</v>
      </c>
      <c r="G9" s="206">
        <v>1608927</v>
      </c>
      <c r="H9" s="279" t="s">
        <v>363</v>
      </c>
      <c r="I9" s="281">
        <v>31444</v>
      </c>
      <c r="J9" s="206" t="s">
        <v>171</v>
      </c>
      <c r="K9" s="206">
        <v>16109012278</v>
      </c>
      <c r="L9" s="206" t="s">
        <v>240</v>
      </c>
      <c r="M9" s="206">
        <v>4658300</v>
      </c>
      <c r="N9" s="206" t="s">
        <v>254</v>
      </c>
      <c r="O9" s="206">
        <v>659660</v>
      </c>
      <c r="P9" s="206">
        <v>0</v>
      </c>
      <c r="Q9" s="206">
        <v>0</v>
      </c>
      <c r="R9" s="206">
        <v>949267</v>
      </c>
      <c r="S9" s="206">
        <v>0</v>
      </c>
      <c r="T9" s="279" t="s">
        <v>364</v>
      </c>
      <c r="U9" s="206">
        <v>2</v>
      </c>
      <c r="V9" s="206">
        <v>1</v>
      </c>
      <c r="W9" s="206">
        <v>10</v>
      </c>
      <c r="X9" s="206" t="s">
        <v>259</v>
      </c>
      <c r="Y9" s="206">
        <v>1</v>
      </c>
      <c r="Z9" s="206">
        <v>1</v>
      </c>
      <c r="AA9" s="206">
        <v>2</v>
      </c>
      <c r="AB9" s="206" t="s">
        <v>243</v>
      </c>
      <c r="AC9" s="206">
        <v>1610905249</v>
      </c>
      <c r="AD9" s="206" t="s">
        <v>244</v>
      </c>
      <c r="AE9" s="206">
        <v>66618</v>
      </c>
    </row>
    <row r="10" spans="1:34" x14ac:dyDescent="0.35">
      <c r="A10" s="206" t="s">
        <v>260</v>
      </c>
      <c r="B10" s="206" t="s">
        <v>148</v>
      </c>
      <c r="C10" s="206" t="s">
        <v>149</v>
      </c>
      <c r="D10" s="206">
        <v>9</v>
      </c>
      <c r="E10" s="206">
        <v>1626000</v>
      </c>
      <c r="F10" s="206">
        <v>5691</v>
      </c>
      <c r="G10" s="206">
        <v>1620309</v>
      </c>
      <c r="H10" s="279" t="s">
        <v>365</v>
      </c>
      <c r="I10" s="281">
        <v>29660</v>
      </c>
      <c r="J10" s="206" t="s">
        <v>163</v>
      </c>
      <c r="K10" s="206">
        <v>1610105556</v>
      </c>
      <c r="L10" s="206" t="s">
        <v>240</v>
      </c>
      <c r="M10" s="206">
        <v>5080700</v>
      </c>
      <c r="N10" s="206" t="s">
        <v>254</v>
      </c>
      <c r="O10" s="206">
        <v>664327</v>
      </c>
      <c r="P10" s="206">
        <v>0</v>
      </c>
      <c r="Q10" s="206">
        <v>0</v>
      </c>
      <c r="R10" s="206">
        <v>955982</v>
      </c>
      <c r="S10" s="206">
        <v>0</v>
      </c>
      <c r="T10" s="279" t="s">
        <v>366</v>
      </c>
      <c r="U10" s="206">
        <v>2</v>
      </c>
      <c r="V10" s="206">
        <v>1</v>
      </c>
      <c r="W10" s="206">
        <v>16</v>
      </c>
      <c r="X10" s="206" t="s">
        <v>261</v>
      </c>
      <c r="Y10" s="206">
        <v>1</v>
      </c>
      <c r="Z10" s="206">
        <v>1</v>
      </c>
      <c r="AA10" s="206">
        <v>2</v>
      </c>
      <c r="AB10" s="206" t="s">
        <v>243</v>
      </c>
      <c r="AC10" s="206">
        <v>1610105556</v>
      </c>
      <c r="AD10" s="206" t="s">
        <v>244</v>
      </c>
      <c r="AE10" s="206">
        <v>76207</v>
      </c>
    </row>
    <row r="11" spans="1:34" x14ac:dyDescent="0.35">
      <c r="A11" s="206" t="s">
        <v>262</v>
      </c>
      <c r="B11" s="206" t="s">
        <v>148</v>
      </c>
      <c r="C11" s="206" t="s">
        <v>149</v>
      </c>
      <c r="D11" s="206">
        <v>9</v>
      </c>
      <c r="E11" s="206">
        <v>1626000</v>
      </c>
      <c r="F11" s="206">
        <v>0</v>
      </c>
      <c r="G11" s="206">
        <v>1626000</v>
      </c>
      <c r="H11" s="279" t="s">
        <v>367</v>
      </c>
      <c r="I11" s="281">
        <v>32416</v>
      </c>
      <c r="J11" s="206" t="s">
        <v>176</v>
      </c>
      <c r="K11" s="206">
        <v>1610107829</v>
      </c>
      <c r="L11" s="206" t="s">
        <v>240</v>
      </c>
      <c r="M11" s="206">
        <v>4658300</v>
      </c>
      <c r="N11" s="206" t="s">
        <v>254</v>
      </c>
      <c r="O11" s="206">
        <v>666660</v>
      </c>
      <c r="P11" s="206">
        <v>0</v>
      </c>
      <c r="Q11" s="206">
        <v>0</v>
      </c>
      <c r="R11" s="206">
        <v>959340</v>
      </c>
      <c r="S11" s="206">
        <v>0</v>
      </c>
      <c r="T11" s="279" t="s">
        <v>368</v>
      </c>
      <c r="U11" s="206">
        <v>2</v>
      </c>
      <c r="V11" s="206">
        <v>1</v>
      </c>
      <c r="W11" s="206">
        <v>12</v>
      </c>
      <c r="X11" s="206" t="s">
        <v>263</v>
      </c>
      <c r="Y11" s="206">
        <v>1</v>
      </c>
      <c r="Z11" s="206">
        <v>1</v>
      </c>
      <c r="AA11" s="206">
        <v>2</v>
      </c>
      <c r="AB11" s="206" t="s">
        <v>243</v>
      </c>
      <c r="AC11" s="206">
        <v>1610107829</v>
      </c>
      <c r="AD11" s="206" t="s">
        <v>244</v>
      </c>
      <c r="AE11" s="206">
        <v>67405</v>
      </c>
    </row>
    <row r="12" spans="1:34" x14ac:dyDescent="0.35">
      <c r="A12" s="206" t="s">
        <v>264</v>
      </c>
      <c r="B12" s="206" t="s">
        <v>150</v>
      </c>
      <c r="C12" s="206" t="s">
        <v>151</v>
      </c>
      <c r="D12" s="206">
        <v>11</v>
      </c>
      <c r="E12" s="206">
        <v>1842000</v>
      </c>
      <c r="F12" s="206">
        <v>128019</v>
      </c>
      <c r="G12" s="206">
        <v>1713981</v>
      </c>
      <c r="H12" s="279" t="s">
        <v>369</v>
      </c>
      <c r="I12" s="281">
        <v>30970</v>
      </c>
      <c r="J12" s="206" t="s">
        <v>169</v>
      </c>
      <c r="K12" s="206">
        <v>16109012398</v>
      </c>
      <c r="L12" s="206" t="s">
        <v>240</v>
      </c>
      <c r="M12" s="206">
        <v>5343700</v>
      </c>
      <c r="N12" s="206" t="s">
        <v>254</v>
      </c>
      <c r="O12" s="206">
        <v>531334</v>
      </c>
      <c r="P12" s="206">
        <v>0</v>
      </c>
      <c r="Q12" s="206">
        <v>0</v>
      </c>
      <c r="R12" s="206">
        <v>1182647</v>
      </c>
      <c r="S12" s="206">
        <v>0</v>
      </c>
      <c r="T12" s="279" t="s">
        <v>370</v>
      </c>
      <c r="U12" s="206">
        <v>2</v>
      </c>
      <c r="V12" s="206">
        <v>1</v>
      </c>
      <c r="W12" s="206">
        <v>17</v>
      </c>
      <c r="X12" s="206" t="s">
        <v>265</v>
      </c>
      <c r="Y12" s="206">
        <v>1</v>
      </c>
      <c r="Z12" s="206">
        <v>1</v>
      </c>
      <c r="AA12" s="206">
        <v>2</v>
      </c>
      <c r="AB12" s="206" t="s">
        <v>243</v>
      </c>
      <c r="AC12" s="206">
        <v>1610906028</v>
      </c>
      <c r="AD12" s="206" t="s">
        <v>244</v>
      </c>
      <c r="AE12" s="206">
        <v>76207</v>
      </c>
    </row>
    <row r="13" spans="1:34" x14ac:dyDescent="0.35">
      <c r="A13" s="206" t="s">
        <v>266</v>
      </c>
      <c r="B13" s="206" t="s">
        <v>148</v>
      </c>
      <c r="C13" s="206" t="s">
        <v>149</v>
      </c>
      <c r="D13" s="206">
        <v>9</v>
      </c>
      <c r="E13" s="206">
        <v>1626000</v>
      </c>
      <c r="F13" s="206">
        <v>0</v>
      </c>
      <c r="G13" s="206">
        <v>1626000</v>
      </c>
      <c r="H13" s="279" t="s">
        <v>371</v>
      </c>
      <c r="I13" s="281">
        <v>31774</v>
      </c>
      <c r="J13" s="206" t="s">
        <v>174</v>
      </c>
      <c r="K13" s="206">
        <v>16109012246</v>
      </c>
      <c r="L13" s="206" t="s">
        <v>240</v>
      </c>
      <c r="M13" s="206">
        <v>4716400</v>
      </c>
      <c r="N13" s="206" t="s">
        <v>241</v>
      </c>
      <c r="O13" s="206">
        <v>666660</v>
      </c>
      <c r="P13" s="206">
        <v>0</v>
      </c>
      <c r="Q13" s="206">
        <v>0</v>
      </c>
      <c r="R13" s="206">
        <v>959340</v>
      </c>
      <c r="S13" s="206">
        <v>0</v>
      </c>
      <c r="T13" s="279" t="s">
        <v>372</v>
      </c>
      <c r="U13" s="206">
        <v>2</v>
      </c>
      <c r="V13" s="206">
        <v>1</v>
      </c>
      <c r="W13" s="206">
        <v>14</v>
      </c>
      <c r="X13" s="206" t="s">
        <v>267</v>
      </c>
      <c r="Y13" s="206">
        <v>1</v>
      </c>
      <c r="Z13" s="206">
        <v>1</v>
      </c>
      <c r="AA13" s="206">
        <v>1</v>
      </c>
      <c r="AB13" s="206" t="s">
        <v>243</v>
      </c>
      <c r="AC13" s="206">
        <v>1610106971</v>
      </c>
      <c r="AD13" s="206" t="s">
        <v>244</v>
      </c>
      <c r="AE13" s="206">
        <v>68716</v>
      </c>
    </row>
    <row r="14" spans="1:34" x14ac:dyDescent="0.35">
      <c r="A14" s="206" t="s">
        <v>268</v>
      </c>
      <c r="B14" s="206" t="s">
        <v>150</v>
      </c>
      <c r="C14" s="206" t="s">
        <v>151</v>
      </c>
      <c r="D14" s="206">
        <v>11</v>
      </c>
      <c r="E14" s="206">
        <v>1842000</v>
      </c>
      <c r="F14" s="206">
        <v>0</v>
      </c>
      <c r="G14" s="206">
        <v>1842000</v>
      </c>
      <c r="H14" s="279" t="s">
        <v>373</v>
      </c>
      <c r="I14" s="281">
        <v>29830</v>
      </c>
      <c r="J14" s="206" t="s">
        <v>207</v>
      </c>
      <c r="K14" s="206">
        <v>1610106580</v>
      </c>
      <c r="L14" s="206" t="s">
        <v>240</v>
      </c>
      <c r="M14" s="206">
        <v>5343700</v>
      </c>
      <c r="N14" s="206" t="s">
        <v>254</v>
      </c>
      <c r="O14" s="206">
        <v>571020</v>
      </c>
      <c r="P14" s="206">
        <v>0</v>
      </c>
      <c r="Q14" s="206">
        <v>0</v>
      </c>
      <c r="R14" s="206">
        <v>1270980</v>
      </c>
      <c r="S14" s="206">
        <v>0</v>
      </c>
      <c r="T14" s="279" t="s">
        <v>374</v>
      </c>
      <c r="U14" s="206">
        <v>2</v>
      </c>
      <c r="V14" s="206">
        <v>1</v>
      </c>
      <c r="W14" s="206">
        <v>17</v>
      </c>
      <c r="X14" s="206" t="s">
        <v>269</v>
      </c>
      <c r="Y14" s="206">
        <v>1</v>
      </c>
      <c r="Z14" s="206">
        <v>1</v>
      </c>
      <c r="AA14" s="206">
        <v>2</v>
      </c>
      <c r="AB14" s="206" t="s">
        <v>243</v>
      </c>
      <c r="AC14" s="206">
        <v>1610106580</v>
      </c>
      <c r="AD14" s="206" t="s">
        <v>244</v>
      </c>
      <c r="AE14" s="206">
        <v>76207</v>
      </c>
    </row>
    <row r="15" spans="1:34" x14ac:dyDescent="0.35">
      <c r="A15" s="206" t="s">
        <v>270</v>
      </c>
      <c r="B15" s="206" t="s">
        <v>148</v>
      </c>
      <c r="C15" s="206" t="s">
        <v>271</v>
      </c>
      <c r="D15" s="206">
        <v>8</v>
      </c>
      <c r="E15" s="206">
        <v>4743000</v>
      </c>
      <c r="F15" s="206">
        <v>0</v>
      </c>
      <c r="G15" s="206">
        <v>4743000</v>
      </c>
      <c r="H15" s="279" t="s">
        <v>375</v>
      </c>
      <c r="I15" s="281">
        <v>27198</v>
      </c>
      <c r="J15" s="206" t="s">
        <v>348</v>
      </c>
      <c r="K15" s="206">
        <v>1440105481</v>
      </c>
      <c r="L15" s="206" t="s">
        <v>349</v>
      </c>
      <c r="M15" s="206">
        <v>5821400</v>
      </c>
      <c r="N15" s="206" t="s">
        <v>254</v>
      </c>
      <c r="O15" s="206">
        <v>3984120</v>
      </c>
      <c r="P15" s="206">
        <v>0</v>
      </c>
      <c r="Q15" s="206">
        <v>0</v>
      </c>
      <c r="R15" s="206">
        <v>758880</v>
      </c>
      <c r="S15" s="206">
        <v>0</v>
      </c>
      <c r="T15" s="279" t="s">
        <v>376</v>
      </c>
      <c r="U15" s="206">
        <v>2</v>
      </c>
      <c r="V15" s="206">
        <v>1</v>
      </c>
      <c r="W15" s="206">
        <v>18</v>
      </c>
      <c r="X15" s="206" t="s">
        <v>272</v>
      </c>
      <c r="Y15" s="206">
        <v>1</v>
      </c>
      <c r="Z15" s="206">
        <v>1</v>
      </c>
      <c r="AA15" s="206">
        <v>2</v>
      </c>
      <c r="AB15" s="206" t="s">
        <v>243</v>
      </c>
      <c r="AC15" s="206">
        <v>1440105481</v>
      </c>
      <c r="AD15" s="206" t="s">
        <v>244</v>
      </c>
      <c r="AE15" s="206">
        <v>65535</v>
      </c>
    </row>
    <row r="16" spans="1:34" x14ac:dyDescent="0.35">
      <c r="A16" s="206" t="s">
        <v>273</v>
      </c>
      <c r="B16" s="206" t="s">
        <v>153</v>
      </c>
      <c r="C16" s="206" t="s">
        <v>154</v>
      </c>
      <c r="D16" s="206">
        <v>8</v>
      </c>
      <c r="E16" s="206">
        <v>1606000</v>
      </c>
      <c r="F16" s="206">
        <v>0</v>
      </c>
      <c r="G16" s="206">
        <v>1606000</v>
      </c>
      <c r="H16" s="279" t="s">
        <v>377</v>
      </c>
      <c r="I16" s="281">
        <v>29823</v>
      </c>
      <c r="J16" s="206" t="s">
        <v>165</v>
      </c>
      <c r="K16" s="206">
        <v>1460107125</v>
      </c>
      <c r="L16" s="206" t="s">
        <v>240</v>
      </c>
      <c r="M16" s="206">
        <v>3934500</v>
      </c>
      <c r="N16" s="206" t="s">
        <v>246</v>
      </c>
      <c r="O16" s="206">
        <v>835120</v>
      </c>
      <c r="P16" s="206">
        <v>0</v>
      </c>
      <c r="Q16" s="206">
        <v>0</v>
      </c>
      <c r="R16" s="206">
        <v>770880</v>
      </c>
      <c r="S16" s="206">
        <v>0</v>
      </c>
      <c r="T16" s="279" t="s">
        <v>378</v>
      </c>
      <c r="U16" s="206">
        <v>2</v>
      </c>
      <c r="V16" s="206">
        <v>1</v>
      </c>
      <c r="W16" s="206">
        <v>14</v>
      </c>
      <c r="X16" s="206" t="s">
        <v>274</v>
      </c>
      <c r="Y16" s="206">
        <v>2</v>
      </c>
      <c r="Z16" s="206">
        <v>0</v>
      </c>
      <c r="AA16" s="206">
        <v>0</v>
      </c>
      <c r="AB16" s="206" t="s">
        <v>243</v>
      </c>
      <c r="AC16" s="206">
        <v>1460107125</v>
      </c>
      <c r="AD16" s="206" t="s">
        <v>244</v>
      </c>
      <c r="AE16" s="206">
        <v>65535</v>
      </c>
    </row>
    <row r="17" spans="1:31" x14ac:dyDescent="0.35">
      <c r="A17" s="206" t="s">
        <v>275</v>
      </c>
      <c r="B17" s="206" t="s">
        <v>21</v>
      </c>
      <c r="C17" s="206" t="s">
        <v>210</v>
      </c>
      <c r="D17" s="206">
        <v>8</v>
      </c>
      <c r="E17" s="206">
        <v>1000000</v>
      </c>
      <c r="F17" s="206">
        <v>0</v>
      </c>
      <c r="G17" s="206">
        <v>1000000</v>
      </c>
      <c r="H17" s="279" t="s">
        <v>379</v>
      </c>
      <c r="I17" s="281">
        <v>32690</v>
      </c>
      <c r="J17" s="206" t="s">
        <v>182</v>
      </c>
      <c r="K17" s="206">
        <v>16109000456</v>
      </c>
      <c r="L17" s="206" t="s">
        <v>240</v>
      </c>
      <c r="M17" s="206">
        <v>3560200</v>
      </c>
      <c r="N17" s="206" t="s">
        <v>246</v>
      </c>
      <c r="O17" s="206">
        <v>1000000</v>
      </c>
      <c r="P17" s="206">
        <v>0</v>
      </c>
      <c r="Q17" s="206">
        <v>0</v>
      </c>
      <c r="R17" s="206">
        <v>0</v>
      </c>
      <c r="S17" s="206">
        <v>0</v>
      </c>
      <c r="T17" s="279" t="s">
        <v>380</v>
      </c>
      <c r="U17" s="206">
        <v>2</v>
      </c>
      <c r="V17" s="206">
        <v>2</v>
      </c>
      <c r="W17" s="206">
        <v>2</v>
      </c>
      <c r="X17" s="206" t="s">
        <v>276</v>
      </c>
      <c r="Y17" s="206">
        <v>2</v>
      </c>
      <c r="Z17" s="206">
        <v>0</v>
      </c>
      <c r="AA17" s="206">
        <v>0</v>
      </c>
      <c r="AB17" s="206" t="s">
        <v>243</v>
      </c>
      <c r="AC17" s="206">
        <v>16109000456</v>
      </c>
      <c r="AD17" s="206" t="s">
        <v>244</v>
      </c>
      <c r="AE17" s="206">
        <v>65535</v>
      </c>
    </row>
    <row r="18" spans="1:31" x14ac:dyDescent="0.35">
      <c r="A18" s="206" t="s">
        <v>277</v>
      </c>
      <c r="B18" s="206" t="s">
        <v>150</v>
      </c>
      <c r="C18" s="206" t="s">
        <v>151</v>
      </c>
      <c r="D18" s="206">
        <v>11</v>
      </c>
      <c r="E18" s="206">
        <v>1842000</v>
      </c>
      <c r="F18" s="206">
        <v>0</v>
      </c>
      <c r="G18" s="206">
        <v>1842000</v>
      </c>
      <c r="H18" s="279" t="s">
        <v>381</v>
      </c>
      <c r="I18" s="281">
        <v>29816</v>
      </c>
      <c r="J18" s="206" t="s">
        <v>164</v>
      </c>
      <c r="K18" s="206">
        <v>1900900969</v>
      </c>
      <c r="L18" s="206" t="s">
        <v>240</v>
      </c>
      <c r="M18" s="206">
        <v>5499700</v>
      </c>
      <c r="N18" s="206" t="s">
        <v>254</v>
      </c>
      <c r="O18" s="206">
        <v>571020</v>
      </c>
      <c r="P18" s="206">
        <v>0</v>
      </c>
      <c r="Q18" s="206">
        <v>0</v>
      </c>
      <c r="R18" s="206">
        <v>1270980</v>
      </c>
      <c r="S18" s="206">
        <v>0</v>
      </c>
      <c r="T18" s="279" t="s">
        <v>382</v>
      </c>
      <c r="U18" s="206">
        <v>2</v>
      </c>
      <c r="V18" s="206">
        <v>1</v>
      </c>
      <c r="W18" s="206">
        <v>20</v>
      </c>
      <c r="X18" s="206" t="s">
        <v>278</v>
      </c>
      <c r="Y18" s="206">
        <v>1</v>
      </c>
      <c r="Z18" s="206">
        <v>1</v>
      </c>
      <c r="AA18" s="206">
        <v>2</v>
      </c>
      <c r="AB18" s="206" t="s">
        <v>243</v>
      </c>
      <c r="AC18" s="206">
        <v>1900900969</v>
      </c>
      <c r="AD18" s="206" t="s">
        <v>244</v>
      </c>
      <c r="AE18" s="206">
        <v>78605</v>
      </c>
    </row>
    <row r="19" spans="1:31" x14ac:dyDescent="0.35">
      <c r="A19" s="206" t="s">
        <v>279</v>
      </c>
      <c r="B19" s="206" t="s">
        <v>21</v>
      </c>
      <c r="C19" s="206" t="s">
        <v>210</v>
      </c>
      <c r="D19" s="206">
        <v>8</v>
      </c>
      <c r="E19" s="206">
        <v>1000000</v>
      </c>
      <c r="F19" s="206">
        <v>18000</v>
      </c>
      <c r="G19" s="206">
        <v>982000</v>
      </c>
      <c r="H19" s="279" t="s">
        <v>383</v>
      </c>
      <c r="I19" s="281">
        <v>32780</v>
      </c>
      <c r="J19" s="206" t="s">
        <v>183</v>
      </c>
      <c r="K19" s="206">
        <v>1610906064</v>
      </c>
      <c r="L19" s="206" t="s">
        <v>240</v>
      </c>
      <c r="M19" s="206">
        <v>4334000</v>
      </c>
      <c r="N19" s="206" t="s">
        <v>249</v>
      </c>
      <c r="O19" s="206">
        <v>982000</v>
      </c>
      <c r="P19" s="206">
        <v>0</v>
      </c>
      <c r="Q19" s="206">
        <v>0</v>
      </c>
      <c r="R19" s="206">
        <v>0</v>
      </c>
      <c r="S19" s="206">
        <v>0</v>
      </c>
      <c r="T19" s="279" t="s">
        <v>384</v>
      </c>
      <c r="U19" s="206">
        <v>2</v>
      </c>
      <c r="V19" s="206">
        <v>2</v>
      </c>
      <c r="W19" s="206">
        <v>2</v>
      </c>
      <c r="X19" s="206" t="s">
        <v>280</v>
      </c>
      <c r="Y19" s="206">
        <v>1</v>
      </c>
      <c r="Z19" s="206">
        <v>1</v>
      </c>
      <c r="AA19" s="206">
        <v>2</v>
      </c>
      <c r="AB19" s="206" t="s">
        <v>243</v>
      </c>
      <c r="AC19" s="206">
        <v>1610906064</v>
      </c>
      <c r="AD19" s="206" t="s">
        <v>244</v>
      </c>
      <c r="AE19" s="206">
        <v>65535</v>
      </c>
    </row>
    <row r="20" spans="1:31" x14ac:dyDescent="0.35">
      <c r="A20" s="206" t="s">
        <v>281</v>
      </c>
      <c r="B20" s="206" t="s">
        <v>21</v>
      </c>
      <c r="C20" s="206" t="s">
        <v>210</v>
      </c>
      <c r="D20" s="206">
        <v>8</v>
      </c>
      <c r="E20" s="206">
        <v>1000000</v>
      </c>
      <c r="F20" s="206">
        <v>0</v>
      </c>
      <c r="G20" s="206">
        <v>1000000</v>
      </c>
      <c r="H20" s="279" t="s">
        <v>385</v>
      </c>
      <c r="I20" s="281">
        <v>34880</v>
      </c>
      <c r="J20" s="206" t="s">
        <v>189</v>
      </c>
      <c r="K20" s="206">
        <v>16109000347</v>
      </c>
      <c r="L20" s="206" t="s">
        <v>240</v>
      </c>
      <c r="M20" s="206">
        <v>3560200</v>
      </c>
      <c r="N20" s="206" t="s">
        <v>246</v>
      </c>
      <c r="O20" s="206">
        <v>1000000</v>
      </c>
      <c r="P20" s="206">
        <v>0</v>
      </c>
      <c r="Q20" s="206">
        <v>0</v>
      </c>
      <c r="R20" s="206">
        <v>0</v>
      </c>
      <c r="S20" s="206">
        <v>0</v>
      </c>
      <c r="T20" s="279" t="s">
        <v>386</v>
      </c>
      <c r="U20" s="206">
        <v>2</v>
      </c>
      <c r="V20" s="206">
        <v>2</v>
      </c>
      <c r="W20" s="206">
        <v>0</v>
      </c>
      <c r="X20" s="206" t="s">
        <v>282</v>
      </c>
      <c r="Y20" s="206">
        <v>2</v>
      </c>
      <c r="Z20" s="206">
        <v>0</v>
      </c>
      <c r="AA20" s="206">
        <v>0</v>
      </c>
      <c r="AB20" s="206" t="s">
        <v>243</v>
      </c>
      <c r="AC20" s="206">
        <v>16109000347</v>
      </c>
      <c r="AD20" s="206" t="s">
        <v>244</v>
      </c>
      <c r="AE20" s="206">
        <v>65535</v>
      </c>
    </row>
    <row r="21" spans="1:31" x14ac:dyDescent="0.35">
      <c r="A21" s="206" t="s">
        <v>283</v>
      </c>
      <c r="B21" s="206" t="s">
        <v>148</v>
      </c>
      <c r="C21" s="206" t="s">
        <v>149</v>
      </c>
      <c r="D21" s="206">
        <v>9</v>
      </c>
      <c r="E21" s="206">
        <v>1626000</v>
      </c>
      <c r="F21" s="206">
        <v>11382</v>
      </c>
      <c r="G21" s="206">
        <v>1614618</v>
      </c>
      <c r="H21" s="279" t="s">
        <v>387</v>
      </c>
      <c r="I21" s="281">
        <v>30067</v>
      </c>
      <c r="J21" s="206" t="s">
        <v>168</v>
      </c>
      <c r="K21" s="206">
        <v>1610901678</v>
      </c>
      <c r="L21" s="206" t="s">
        <v>240</v>
      </c>
      <c r="M21" s="206">
        <v>4773800</v>
      </c>
      <c r="N21" s="206" t="s">
        <v>249</v>
      </c>
      <c r="O21" s="206">
        <v>661993</v>
      </c>
      <c r="P21" s="206">
        <v>0</v>
      </c>
      <c r="Q21" s="206">
        <v>0</v>
      </c>
      <c r="R21" s="206">
        <v>952625</v>
      </c>
      <c r="S21" s="206">
        <v>0</v>
      </c>
      <c r="T21" s="279" t="s">
        <v>388</v>
      </c>
      <c r="U21" s="206">
        <v>2</v>
      </c>
      <c r="V21" s="206">
        <v>1</v>
      </c>
      <c r="W21" s="206">
        <v>16</v>
      </c>
      <c r="X21" s="206" t="s">
        <v>284</v>
      </c>
      <c r="Y21" s="206">
        <v>1</v>
      </c>
      <c r="Z21" s="206">
        <v>1</v>
      </c>
      <c r="AA21" s="206">
        <v>0</v>
      </c>
      <c r="AB21" s="206" t="s">
        <v>243</v>
      </c>
      <c r="AC21" s="206">
        <v>1610901678</v>
      </c>
      <c r="AD21" s="206" t="s">
        <v>244</v>
      </c>
      <c r="AE21" s="206">
        <v>73880</v>
      </c>
    </row>
    <row r="22" spans="1:31" x14ac:dyDescent="0.35">
      <c r="A22" s="206" t="s">
        <v>285</v>
      </c>
      <c r="B22" s="206" t="s">
        <v>148</v>
      </c>
      <c r="C22" s="206" t="s">
        <v>149</v>
      </c>
      <c r="D22" s="206">
        <v>9</v>
      </c>
      <c r="E22" s="206">
        <v>1626000</v>
      </c>
      <c r="F22" s="206">
        <v>0</v>
      </c>
      <c r="G22" s="206">
        <v>1626000</v>
      </c>
      <c r="H22" s="279" t="s">
        <v>389</v>
      </c>
      <c r="I22" s="281">
        <v>32628</v>
      </c>
      <c r="J22" s="206" t="s">
        <v>177</v>
      </c>
      <c r="K22" s="206">
        <v>1610904070</v>
      </c>
      <c r="L22" s="206" t="s">
        <v>240</v>
      </c>
      <c r="M22" s="206">
        <v>4658300</v>
      </c>
      <c r="N22" s="206" t="s">
        <v>254</v>
      </c>
      <c r="O22" s="206">
        <v>666660</v>
      </c>
      <c r="P22" s="206">
        <v>0</v>
      </c>
      <c r="Q22" s="206">
        <v>0</v>
      </c>
      <c r="R22" s="206">
        <v>959340</v>
      </c>
      <c r="S22" s="206">
        <v>0</v>
      </c>
      <c r="T22" s="279" t="s">
        <v>390</v>
      </c>
      <c r="U22" s="206">
        <v>2</v>
      </c>
      <c r="V22" s="206">
        <v>1</v>
      </c>
      <c r="W22" s="206">
        <v>12</v>
      </c>
      <c r="X22" s="206" t="s">
        <v>286</v>
      </c>
      <c r="Y22" s="206">
        <v>1</v>
      </c>
      <c r="Z22" s="206">
        <v>1</v>
      </c>
      <c r="AA22" s="206">
        <v>2</v>
      </c>
      <c r="AB22" s="206" t="s">
        <v>243</v>
      </c>
      <c r="AC22" s="206">
        <v>1610904070</v>
      </c>
      <c r="AD22" s="206" t="s">
        <v>244</v>
      </c>
      <c r="AE22" s="206">
        <v>66618</v>
      </c>
    </row>
    <row r="23" spans="1:31" x14ac:dyDescent="0.35">
      <c r="A23" s="206" t="s">
        <v>287</v>
      </c>
      <c r="B23" s="206" t="s">
        <v>21</v>
      </c>
      <c r="C23" s="206" t="s">
        <v>210</v>
      </c>
      <c r="D23" s="206">
        <v>8</v>
      </c>
      <c r="E23" s="206">
        <v>1000000</v>
      </c>
      <c r="F23" s="206">
        <v>3500</v>
      </c>
      <c r="G23" s="206">
        <v>996500</v>
      </c>
      <c r="H23" s="279" t="s">
        <v>391</v>
      </c>
      <c r="I23" s="281">
        <v>31590</v>
      </c>
      <c r="J23" s="206" t="s">
        <v>181</v>
      </c>
      <c r="K23" s="206">
        <v>1820903520</v>
      </c>
      <c r="L23" s="206" t="s">
        <v>240</v>
      </c>
      <c r="M23" s="206">
        <v>3659800</v>
      </c>
      <c r="N23" s="206" t="s">
        <v>246</v>
      </c>
      <c r="O23" s="206">
        <v>996500</v>
      </c>
      <c r="P23" s="206">
        <v>0</v>
      </c>
      <c r="Q23" s="206">
        <v>0</v>
      </c>
      <c r="R23" s="206">
        <v>0</v>
      </c>
      <c r="S23" s="206">
        <v>0</v>
      </c>
      <c r="T23" s="279" t="s">
        <v>392</v>
      </c>
      <c r="U23" s="206">
        <v>2</v>
      </c>
      <c r="V23" s="206">
        <v>2</v>
      </c>
      <c r="W23" s="206">
        <v>2</v>
      </c>
      <c r="X23" s="206" t="s">
        <v>288</v>
      </c>
      <c r="Y23" s="206">
        <v>2</v>
      </c>
      <c r="Z23" s="206">
        <v>0</v>
      </c>
      <c r="AA23" s="206">
        <v>0</v>
      </c>
      <c r="AB23" s="206" t="s">
        <v>243</v>
      </c>
      <c r="AC23" s="206">
        <v>1820903520</v>
      </c>
      <c r="AD23" s="206" t="s">
        <v>244</v>
      </c>
      <c r="AE23" s="206">
        <v>65535</v>
      </c>
    </row>
    <row r="24" spans="1:31" x14ac:dyDescent="0.35">
      <c r="A24" s="206" t="s">
        <v>289</v>
      </c>
      <c r="B24" s="206" t="s">
        <v>148</v>
      </c>
      <c r="C24" s="206" t="s">
        <v>149</v>
      </c>
      <c r="D24" s="206">
        <v>9</v>
      </c>
      <c r="E24" s="206">
        <v>1626000</v>
      </c>
      <c r="F24" s="206">
        <v>0</v>
      </c>
      <c r="G24" s="206">
        <v>1626000</v>
      </c>
      <c r="H24" s="279" t="s">
        <v>393</v>
      </c>
      <c r="I24" s="281">
        <v>30037</v>
      </c>
      <c r="J24" s="206" t="s">
        <v>167</v>
      </c>
      <c r="K24" s="206">
        <v>1610105795</v>
      </c>
      <c r="L24" s="206" t="s">
        <v>240</v>
      </c>
      <c r="M24" s="206">
        <v>4496900</v>
      </c>
      <c r="N24" s="206" t="s">
        <v>249</v>
      </c>
      <c r="O24" s="206">
        <v>666660</v>
      </c>
      <c r="P24" s="206">
        <v>0</v>
      </c>
      <c r="Q24" s="206">
        <v>0</v>
      </c>
      <c r="R24" s="206">
        <v>959340</v>
      </c>
      <c r="S24" s="206">
        <v>0</v>
      </c>
      <c r="T24" s="279" t="s">
        <v>394</v>
      </c>
      <c r="U24" s="206">
        <v>2</v>
      </c>
      <c r="V24" s="206">
        <v>1</v>
      </c>
      <c r="W24" s="206">
        <v>16</v>
      </c>
      <c r="X24" s="206" t="s">
        <v>290</v>
      </c>
      <c r="Y24" s="206">
        <v>1</v>
      </c>
      <c r="Z24" s="206">
        <v>0</v>
      </c>
      <c r="AA24" s="206">
        <v>0</v>
      </c>
      <c r="AB24" s="206" t="s">
        <v>243</v>
      </c>
      <c r="AC24" s="206">
        <v>1610105795</v>
      </c>
      <c r="AD24" s="206" t="s">
        <v>244</v>
      </c>
      <c r="AE24" s="206">
        <v>76207</v>
      </c>
    </row>
    <row r="25" spans="1:31" x14ac:dyDescent="0.35">
      <c r="A25" s="206" t="s">
        <v>291</v>
      </c>
      <c r="B25" s="206" t="s">
        <v>148</v>
      </c>
      <c r="C25" s="206" t="s">
        <v>149</v>
      </c>
      <c r="D25" s="206">
        <v>9</v>
      </c>
      <c r="E25" s="206">
        <v>1626000</v>
      </c>
      <c r="F25" s="206">
        <v>5691</v>
      </c>
      <c r="G25" s="206">
        <v>1620309</v>
      </c>
      <c r="H25" s="279" t="s">
        <v>395</v>
      </c>
      <c r="I25" s="281">
        <v>25040</v>
      </c>
      <c r="J25" s="206" t="s">
        <v>156</v>
      </c>
      <c r="K25" s="206">
        <v>1610101008</v>
      </c>
      <c r="L25" s="206" t="s">
        <v>240</v>
      </c>
      <c r="M25" s="206">
        <v>5614000</v>
      </c>
      <c r="N25" s="206" t="s">
        <v>241</v>
      </c>
      <c r="O25" s="206">
        <v>664327</v>
      </c>
      <c r="P25" s="206">
        <v>0</v>
      </c>
      <c r="Q25" s="206">
        <v>0</v>
      </c>
      <c r="R25" s="206">
        <v>955982</v>
      </c>
      <c r="S25" s="206">
        <v>0</v>
      </c>
      <c r="T25" s="279" t="s">
        <v>396</v>
      </c>
      <c r="U25" s="206">
        <v>2</v>
      </c>
      <c r="V25" s="206">
        <v>1</v>
      </c>
      <c r="W25" s="206">
        <v>26</v>
      </c>
      <c r="X25" s="206" t="s">
        <v>292</v>
      </c>
      <c r="Y25" s="206">
        <v>1</v>
      </c>
      <c r="Z25" s="206">
        <v>1</v>
      </c>
      <c r="AA25" s="206">
        <v>1</v>
      </c>
      <c r="AB25" s="206" t="s">
        <v>243</v>
      </c>
      <c r="AC25" s="206">
        <v>1610101008</v>
      </c>
      <c r="AD25" s="206" t="s">
        <v>244</v>
      </c>
      <c r="AE25" s="206">
        <v>86270</v>
      </c>
    </row>
    <row r="26" spans="1:31" x14ac:dyDescent="0.35">
      <c r="A26" s="206" t="s">
        <v>293</v>
      </c>
      <c r="B26" s="206" t="s">
        <v>148</v>
      </c>
      <c r="C26" s="206" t="s">
        <v>149</v>
      </c>
      <c r="D26" s="206">
        <v>9</v>
      </c>
      <c r="E26" s="206">
        <v>1626000</v>
      </c>
      <c r="F26" s="206">
        <v>0</v>
      </c>
      <c r="G26" s="206">
        <v>1626000</v>
      </c>
      <c r="H26" s="279" t="s">
        <v>397</v>
      </c>
      <c r="I26" s="281">
        <v>32221</v>
      </c>
      <c r="J26" s="206" t="s">
        <v>175</v>
      </c>
      <c r="K26" s="206">
        <v>1610905245</v>
      </c>
      <c r="L26" s="206" t="s">
        <v>240</v>
      </c>
      <c r="M26" s="206">
        <v>4506300</v>
      </c>
      <c r="N26" s="206" t="s">
        <v>249</v>
      </c>
      <c r="O26" s="206">
        <v>666660</v>
      </c>
      <c r="P26" s="206">
        <v>0</v>
      </c>
      <c r="Q26" s="206">
        <v>0</v>
      </c>
      <c r="R26" s="206">
        <v>959340</v>
      </c>
      <c r="S26" s="206">
        <v>0</v>
      </c>
      <c r="T26" s="279" t="s">
        <v>398</v>
      </c>
      <c r="U26" s="206">
        <v>2</v>
      </c>
      <c r="V26" s="206">
        <v>1</v>
      </c>
      <c r="W26" s="206">
        <v>10</v>
      </c>
      <c r="X26" s="206" t="s">
        <v>294</v>
      </c>
      <c r="Y26" s="206">
        <v>1</v>
      </c>
      <c r="Z26" s="206">
        <v>1</v>
      </c>
      <c r="AA26" s="206">
        <v>0</v>
      </c>
      <c r="AB26" s="206" t="s">
        <v>243</v>
      </c>
      <c r="AC26" s="206">
        <v>1610905245</v>
      </c>
      <c r="AD26" s="206" t="s">
        <v>244</v>
      </c>
      <c r="AE26" s="206">
        <v>66618</v>
      </c>
    </row>
    <row r="27" spans="1:31" x14ac:dyDescent="0.35">
      <c r="A27" s="206" t="s">
        <v>295</v>
      </c>
      <c r="B27" s="206" t="s">
        <v>148</v>
      </c>
      <c r="C27" s="206" t="s">
        <v>149</v>
      </c>
      <c r="D27" s="206">
        <v>9</v>
      </c>
      <c r="E27" s="206">
        <v>1626000</v>
      </c>
      <c r="F27" s="206">
        <v>0</v>
      </c>
      <c r="G27" s="206">
        <v>1626000</v>
      </c>
      <c r="H27" s="279" t="s">
        <v>399</v>
      </c>
      <c r="I27" s="281">
        <v>31105</v>
      </c>
      <c r="J27" s="206" t="s">
        <v>170</v>
      </c>
      <c r="K27" s="206">
        <v>1610104975</v>
      </c>
      <c r="L27" s="206" t="s">
        <v>240</v>
      </c>
      <c r="M27" s="206">
        <v>4935500</v>
      </c>
      <c r="N27" s="206" t="s">
        <v>254</v>
      </c>
      <c r="O27" s="206">
        <v>666660</v>
      </c>
      <c r="P27" s="206">
        <v>0</v>
      </c>
      <c r="Q27" s="206">
        <v>0</v>
      </c>
      <c r="R27" s="206">
        <v>959340</v>
      </c>
      <c r="S27" s="206">
        <v>0</v>
      </c>
      <c r="T27" s="279" t="s">
        <v>400</v>
      </c>
      <c r="U27" s="206">
        <v>2</v>
      </c>
      <c r="V27" s="206">
        <v>1</v>
      </c>
      <c r="W27" s="206">
        <v>16</v>
      </c>
      <c r="X27" s="206" t="s">
        <v>296</v>
      </c>
      <c r="Y27" s="206">
        <v>1</v>
      </c>
      <c r="Z27" s="206">
        <v>1</v>
      </c>
      <c r="AA27" s="206">
        <v>2</v>
      </c>
      <c r="AB27" s="206" t="s">
        <v>243</v>
      </c>
      <c r="AC27" s="206">
        <v>1610104975</v>
      </c>
      <c r="AD27" s="206" t="s">
        <v>244</v>
      </c>
      <c r="AE27" s="206">
        <v>73880</v>
      </c>
    </row>
    <row r="28" spans="1:31" x14ac:dyDescent="0.35">
      <c r="A28" s="206" t="s">
        <v>297</v>
      </c>
      <c r="B28" s="206" t="s">
        <v>153</v>
      </c>
      <c r="C28" s="206" t="s">
        <v>350</v>
      </c>
      <c r="D28" s="206">
        <v>7</v>
      </c>
      <c r="E28" s="206">
        <v>2667000</v>
      </c>
      <c r="F28" s="206">
        <v>0</v>
      </c>
      <c r="G28" s="206">
        <v>2667000</v>
      </c>
      <c r="H28" s="279" t="s">
        <v>401</v>
      </c>
      <c r="I28" s="281">
        <v>29042</v>
      </c>
      <c r="J28" s="206" t="s">
        <v>161</v>
      </c>
      <c r="K28" s="206">
        <v>1610103820</v>
      </c>
      <c r="L28" s="206" t="s">
        <v>240</v>
      </c>
      <c r="M28" s="206">
        <v>4352600</v>
      </c>
      <c r="N28" s="206" t="s">
        <v>241</v>
      </c>
      <c r="O28" s="206">
        <v>1973580</v>
      </c>
      <c r="P28" s="206">
        <v>0</v>
      </c>
      <c r="Q28" s="206">
        <v>0</v>
      </c>
      <c r="R28" s="206">
        <v>693420</v>
      </c>
      <c r="S28" s="206">
        <v>0</v>
      </c>
      <c r="T28" s="279" t="s">
        <v>402</v>
      </c>
      <c r="U28" s="206">
        <v>3</v>
      </c>
      <c r="V28" s="206">
        <v>1</v>
      </c>
      <c r="W28" s="206">
        <v>16</v>
      </c>
      <c r="X28" s="206" t="s">
        <v>298</v>
      </c>
      <c r="Y28" s="206">
        <v>1</v>
      </c>
      <c r="Z28" s="206">
        <v>1</v>
      </c>
      <c r="AA28" s="206">
        <v>1</v>
      </c>
      <c r="AB28" s="206" t="s">
        <v>243</v>
      </c>
      <c r="AC28" s="206">
        <v>1610103820</v>
      </c>
      <c r="AD28" s="206" t="s">
        <v>244</v>
      </c>
      <c r="AE28" s="206">
        <v>65535</v>
      </c>
    </row>
    <row r="29" spans="1:31" x14ac:dyDescent="0.35">
      <c r="A29" s="206" t="s">
        <v>299</v>
      </c>
      <c r="B29" s="206" t="s">
        <v>21</v>
      </c>
      <c r="C29" s="206" t="s">
        <v>210</v>
      </c>
      <c r="D29" s="206">
        <v>8</v>
      </c>
      <c r="E29" s="206">
        <v>1000000</v>
      </c>
      <c r="F29" s="206">
        <v>0</v>
      </c>
      <c r="G29" s="206">
        <v>1000000</v>
      </c>
      <c r="H29" s="279" t="s">
        <v>403</v>
      </c>
      <c r="I29" s="281">
        <v>27887</v>
      </c>
      <c r="J29" s="206" t="s">
        <v>180</v>
      </c>
      <c r="K29" s="206">
        <v>1610907514</v>
      </c>
      <c r="L29" s="206" t="s">
        <v>240</v>
      </c>
      <c r="M29" s="206">
        <v>4220400</v>
      </c>
      <c r="N29" s="206" t="s">
        <v>249</v>
      </c>
      <c r="O29" s="206">
        <v>1000000</v>
      </c>
      <c r="P29" s="206">
        <v>0</v>
      </c>
      <c r="Q29" s="206">
        <v>0</v>
      </c>
      <c r="R29" s="206">
        <v>0</v>
      </c>
      <c r="S29" s="206">
        <v>0</v>
      </c>
      <c r="T29" s="279" t="s">
        <v>404</v>
      </c>
      <c r="U29" s="206">
        <v>2</v>
      </c>
      <c r="V29" s="206">
        <v>2</v>
      </c>
      <c r="W29" s="206">
        <v>0</v>
      </c>
      <c r="X29" s="206" t="s">
        <v>300</v>
      </c>
      <c r="Y29" s="206">
        <v>1</v>
      </c>
      <c r="Z29" s="206">
        <v>1</v>
      </c>
      <c r="AA29" s="206">
        <v>2</v>
      </c>
      <c r="AB29" s="206" t="s">
        <v>243</v>
      </c>
      <c r="AC29" s="206">
        <v>1610907514</v>
      </c>
      <c r="AD29" s="206" t="s">
        <v>244</v>
      </c>
      <c r="AE29" s="206">
        <v>65535</v>
      </c>
    </row>
    <row r="30" spans="1:31" x14ac:dyDescent="0.35">
      <c r="A30" s="206" t="s">
        <v>301</v>
      </c>
      <c r="B30" s="206" t="s">
        <v>21</v>
      </c>
      <c r="C30" s="206" t="s">
        <v>210</v>
      </c>
      <c r="D30" s="206">
        <v>8</v>
      </c>
      <c r="E30" s="206">
        <v>1000000</v>
      </c>
      <c r="F30" s="206">
        <v>0</v>
      </c>
      <c r="G30" s="206">
        <v>1000000</v>
      </c>
      <c r="H30" s="279" t="s">
        <v>405</v>
      </c>
      <c r="I30" s="281">
        <v>36476</v>
      </c>
      <c r="J30" s="206" t="s">
        <v>192</v>
      </c>
      <c r="K30" s="206">
        <v>1440966655</v>
      </c>
      <c r="L30" s="206" t="s">
        <v>240</v>
      </c>
      <c r="M30" s="206">
        <v>4084700</v>
      </c>
      <c r="N30" s="206" t="s">
        <v>249</v>
      </c>
      <c r="O30" s="206">
        <v>1000000</v>
      </c>
      <c r="P30" s="206">
        <v>0</v>
      </c>
      <c r="Q30" s="206">
        <v>0</v>
      </c>
      <c r="R30" s="206">
        <v>0</v>
      </c>
      <c r="S30" s="206">
        <v>0</v>
      </c>
      <c r="T30" s="279" t="s">
        <v>406</v>
      </c>
      <c r="U30" s="206">
        <v>2</v>
      </c>
      <c r="V30" s="206">
        <v>2</v>
      </c>
      <c r="W30" s="206">
        <v>0</v>
      </c>
      <c r="X30" s="206" t="s">
        <v>302</v>
      </c>
      <c r="Y30" s="206">
        <v>2</v>
      </c>
      <c r="Z30" s="206">
        <v>0</v>
      </c>
      <c r="AA30" s="206">
        <v>0</v>
      </c>
      <c r="AB30" s="206" t="s">
        <v>243</v>
      </c>
      <c r="AC30" s="206">
        <v>1440966655</v>
      </c>
      <c r="AD30" s="206" t="s">
        <v>244</v>
      </c>
      <c r="AE30" s="206">
        <v>65535</v>
      </c>
    </row>
    <row r="31" spans="1:31" x14ac:dyDescent="0.35">
      <c r="A31" s="206" t="s">
        <v>303</v>
      </c>
      <c r="B31" s="206" t="s">
        <v>148</v>
      </c>
      <c r="C31" s="206" t="s">
        <v>149</v>
      </c>
      <c r="D31" s="206">
        <v>9</v>
      </c>
      <c r="E31" s="206">
        <v>1626000</v>
      </c>
      <c r="F31" s="206">
        <v>5691</v>
      </c>
      <c r="G31" s="206">
        <v>1620309</v>
      </c>
      <c r="H31" s="279" t="s">
        <v>407</v>
      </c>
      <c r="I31" s="281">
        <v>31729</v>
      </c>
      <c r="J31" s="206" t="s">
        <v>173</v>
      </c>
      <c r="K31" s="206">
        <v>1610904107</v>
      </c>
      <c r="L31" s="206" t="s">
        <v>240</v>
      </c>
      <c r="M31" s="206">
        <v>4935500</v>
      </c>
      <c r="N31" s="206" t="s">
        <v>254</v>
      </c>
      <c r="O31" s="206">
        <v>664327</v>
      </c>
      <c r="P31" s="206">
        <v>0</v>
      </c>
      <c r="Q31" s="206">
        <v>0</v>
      </c>
      <c r="R31" s="206">
        <v>955982</v>
      </c>
      <c r="S31" s="206">
        <v>0</v>
      </c>
      <c r="T31" s="279" t="s">
        <v>408</v>
      </c>
      <c r="U31" s="206">
        <v>2</v>
      </c>
      <c r="V31" s="206">
        <v>1</v>
      </c>
      <c r="W31" s="206">
        <v>16</v>
      </c>
      <c r="X31" s="206" t="s">
        <v>304</v>
      </c>
      <c r="Y31" s="206">
        <v>1</v>
      </c>
      <c r="Z31" s="206">
        <v>1</v>
      </c>
      <c r="AA31" s="206">
        <v>2</v>
      </c>
      <c r="AB31" s="206" t="s">
        <v>243</v>
      </c>
      <c r="AC31" s="206">
        <v>1610106127</v>
      </c>
      <c r="AD31" s="206" t="s">
        <v>244</v>
      </c>
      <c r="AE31" s="206">
        <v>73880</v>
      </c>
    </row>
    <row r="32" spans="1:31" x14ac:dyDescent="0.35">
      <c r="A32" s="206" t="s">
        <v>305</v>
      </c>
      <c r="B32" s="206" t="s">
        <v>148</v>
      </c>
      <c r="C32" s="206" t="s">
        <v>149</v>
      </c>
      <c r="D32" s="206">
        <v>9</v>
      </c>
      <c r="E32" s="206">
        <v>1626000</v>
      </c>
      <c r="F32" s="206">
        <v>0</v>
      </c>
      <c r="G32" s="206">
        <v>1626000</v>
      </c>
      <c r="H32" s="279" t="s">
        <v>409</v>
      </c>
      <c r="I32" s="281">
        <v>28905</v>
      </c>
      <c r="J32" s="206" t="s">
        <v>160</v>
      </c>
      <c r="K32" s="206">
        <v>1610100879</v>
      </c>
      <c r="L32" s="206" t="s">
        <v>240</v>
      </c>
      <c r="M32" s="206">
        <v>4935500</v>
      </c>
      <c r="N32" s="206" t="s">
        <v>254</v>
      </c>
      <c r="O32" s="206">
        <v>666660</v>
      </c>
      <c r="P32" s="206">
        <v>0</v>
      </c>
      <c r="Q32" s="206">
        <v>0</v>
      </c>
      <c r="R32" s="206">
        <v>959340</v>
      </c>
      <c r="S32" s="206">
        <v>0</v>
      </c>
      <c r="T32" s="279" t="s">
        <v>410</v>
      </c>
      <c r="U32" s="206">
        <v>2</v>
      </c>
      <c r="V32" s="206">
        <v>1</v>
      </c>
      <c r="W32" s="206">
        <v>16</v>
      </c>
      <c r="X32" s="206" t="s">
        <v>306</v>
      </c>
      <c r="Y32" s="206">
        <v>1</v>
      </c>
      <c r="Z32" s="206">
        <v>1</v>
      </c>
      <c r="AA32" s="206">
        <v>2</v>
      </c>
      <c r="AB32" s="206" t="s">
        <v>243</v>
      </c>
      <c r="AC32" s="206">
        <v>1610100879</v>
      </c>
      <c r="AD32" s="206" t="s">
        <v>244</v>
      </c>
      <c r="AE32" s="206">
        <v>73880</v>
      </c>
    </row>
    <row r="33" spans="1:31" x14ac:dyDescent="0.35">
      <c r="A33" s="206" t="s">
        <v>307</v>
      </c>
      <c r="B33" s="206" t="s">
        <v>21</v>
      </c>
      <c r="C33" s="206" t="s">
        <v>210</v>
      </c>
      <c r="D33" s="206">
        <v>8</v>
      </c>
      <c r="E33" s="206">
        <v>1000000</v>
      </c>
      <c r="F33" s="206">
        <v>3500</v>
      </c>
      <c r="G33" s="206">
        <v>996500</v>
      </c>
      <c r="H33" s="279" t="s">
        <v>411</v>
      </c>
      <c r="I33" s="281">
        <v>32995</v>
      </c>
      <c r="J33" s="206" t="s">
        <v>184</v>
      </c>
      <c r="K33" s="206">
        <v>1610108232</v>
      </c>
      <c r="L33" s="206" t="s">
        <v>240</v>
      </c>
      <c r="M33" s="206">
        <v>3560200</v>
      </c>
      <c r="N33" s="206" t="s">
        <v>249</v>
      </c>
      <c r="O33" s="206">
        <v>996500</v>
      </c>
      <c r="P33" s="206">
        <v>0</v>
      </c>
      <c r="Q33" s="206">
        <v>0</v>
      </c>
      <c r="R33" s="206">
        <v>0</v>
      </c>
      <c r="S33" s="206">
        <v>0</v>
      </c>
      <c r="T33" s="279" t="s">
        <v>412</v>
      </c>
      <c r="U33" s="206">
        <v>2</v>
      </c>
      <c r="V33" s="206">
        <v>2</v>
      </c>
      <c r="W33" s="206">
        <v>0</v>
      </c>
      <c r="X33" s="206" t="s">
        <v>308</v>
      </c>
      <c r="Y33" s="206">
        <v>1</v>
      </c>
      <c r="Z33" s="206">
        <v>0</v>
      </c>
      <c r="AA33" s="206">
        <v>0</v>
      </c>
      <c r="AB33" s="206" t="s">
        <v>243</v>
      </c>
      <c r="AC33" s="206">
        <v>1610108232</v>
      </c>
      <c r="AD33" s="206" t="s">
        <v>244</v>
      </c>
      <c r="AE33" s="206">
        <v>65535</v>
      </c>
    </row>
    <row r="34" spans="1:31" x14ac:dyDescent="0.35">
      <c r="A34" s="206" t="s">
        <v>309</v>
      </c>
      <c r="B34" s="206" t="s">
        <v>21</v>
      </c>
      <c r="C34" s="206" t="s">
        <v>210</v>
      </c>
      <c r="D34" s="206">
        <v>8</v>
      </c>
      <c r="E34" s="206">
        <v>1000000</v>
      </c>
      <c r="F34" s="206">
        <v>10500</v>
      </c>
      <c r="G34" s="206">
        <v>989500</v>
      </c>
      <c r="H34" s="279" t="s">
        <v>413</v>
      </c>
      <c r="I34" s="281">
        <v>33803</v>
      </c>
      <c r="J34" s="206" t="s">
        <v>186</v>
      </c>
      <c r="K34" s="206">
        <v>16109012260</v>
      </c>
      <c r="L34" s="206" t="s">
        <v>240</v>
      </c>
      <c r="M34" s="206">
        <v>3560200</v>
      </c>
      <c r="N34" s="206" t="s">
        <v>249</v>
      </c>
      <c r="O34" s="206">
        <v>989500</v>
      </c>
      <c r="P34" s="206">
        <v>0</v>
      </c>
      <c r="Q34" s="206">
        <v>0</v>
      </c>
      <c r="R34" s="206">
        <v>0</v>
      </c>
      <c r="S34" s="206">
        <v>0</v>
      </c>
      <c r="T34" s="279" t="s">
        <v>414</v>
      </c>
      <c r="U34" s="206">
        <v>2</v>
      </c>
      <c r="V34" s="206">
        <v>2</v>
      </c>
      <c r="W34" s="206">
        <v>2</v>
      </c>
      <c r="X34" s="206" t="s">
        <v>310</v>
      </c>
      <c r="Y34" s="206">
        <v>1</v>
      </c>
      <c r="Z34" s="206">
        <v>0</v>
      </c>
      <c r="AA34" s="206">
        <v>0</v>
      </c>
      <c r="AB34" s="206" t="s">
        <v>243</v>
      </c>
      <c r="AC34" s="206">
        <v>16109012260</v>
      </c>
      <c r="AD34" s="206" t="s">
        <v>244</v>
      </c>
      <c r="AE34" s="206">
        <v>65535</v>
      </c>
    </row>
    <row r="35" spans="1:31" x14ac:dyDescent="0.35">
      <c r="A35" s="206" t="s">
        <v>311</v>
      </c>
      <c r="B35" s="206" t="s">
        <v>150</v>
      </c>
      <c r="C35" s="206" t="s">
        <v>151</v>
      </c>
      <c r="D35" s="206">
        <v>11</v>
      </c>
      <c r="E35" s="206">
        <v>1842000</v>
      </c>
      <c r="F35" s="206">
        <v>6447</v>
      </c>
      <c r="G35" s="206">
        <v>1835553</v>
      </c>
      <c r="H35" s="279" t="s">
        <v>415</v>
      </c>
      <c r="I35" s="281">
        <v>28003</v>
      </c>
      <c r="J35" s="206" t="s">
        <v>208</v>
      </c>
      <c r="K35" s="206">
        <v>1610104362</v>
      </c>
      <c r="L35" s="206" t="s">
        <v>240</v>
      </c>
      <c r="M35" s="206">
        <v>5568200</v>
      </c>
      <c r="N35" s="206" t="s">
        <v>241</v>
      </c>
      <c r="O35" s="206">
        <v>569021</v>
      </c>
      <c r="P35" s="206">
        <v>0</v>
      </c>
      <c r="Q35" s="206">
        <v>0</v>
      </c>
      <c r="R35" s="206">
        <v>1266532</v>
      </c>
      <c r="S35" s="206">
        <v>0</v>
      </c>
      <c r="T35" s="279" t="s">
        <v>416</v>
      </c>
      <c r="U35" s="206">
        <v>2</v>
      </c>
      <c r="V35" s="206">
        <v>1</v>
      </c>
      <c r="W35" s="206">
        <v>20</v>
      </c>
      <c r="X35" s="206" t="s">
        <v>312</v>
      </c>
      <c r="Y35" s="206">
        <v>1</v>
      </c>
      <c r="Z35" s="206">
        <v>1</v>
      </c>
      <c r="AA35" s="206">
        <v>1</v>
      </c>
      <c r="AB35" s="206" t="s">
        <v>243</v>
      </c>
      <c r="AC35" s="206">
        <v>1610104362</v>
      </c>
      <c r="AD35" s="206" t="s">
        <v>244</v>
      </c>
      <c r="AE35" s="206">
        <v>81081</v>
      </c>
    </row>
    <row r="36" spans="1:31" x14ac:dyDescent="0.35">
      <c r="A36" s="206" t="s">
        <v>313</v>
      </c>
      <c r="B36" s="206" t="s">
        <v>21</v>
      </c>
      <c r="C36" s="206" t="s">
        <v>210</v>
      </c>
      <c r="D36" s="206">
        <v>8</v>
      </c>
      <c r="E36" s="206">
        <v>1000000</v>
      </c>
      <c r="F36" s="206">
        <v>0</v>
      </c>
      <c r="G36" s="206">
        <v>1000000</v>
      </c>
      <c r="H36" s="279" t="s">
        <v>417</v>
      </c>
      <c r="I36" s="281">
        <v>34691</v>
      </c>
      <c r="J36" s="206" t="s">
        <v>188</v>
      </c>
      <c r="K36" s="206">
        <v>1610906183</v>
      </c>
      <c r="L36" s="206" t="s">
        <v>240</v>
      </c>
      <c r="M36" s="206">
        <v>4196300</v>
      </c>
      <c r="N36" s="206" t="s">
        <v>249</v>
      </c>
      <c r="O36" s="206">
        <v>1000000</v>
      </c>
      <c r="P36" s="206">
        <v>0</v>
      </c>
      <c r="Q36" s="206">
        <v>0</v>
      </c>
      <c r="R36" s="206">
        <v>0</v>
      </c>
      <c r="S36" s="206">
        <v>0</v>
      </c>
      <c r="T36" s="279" t="s">
        <v>418</v>
      </c>
      <c r="U36" s="206">
        <v>2</v>
      </c>
      <c r="V36" s="206">
        <v>2</v>
      </c>
      <c r="W36" s="206">
        <v>2</v>
      </c>
      <c r="X36" s="206" t="s">
        <v>314</v>
      </c>
      <c r="Y36" s="206">
        <v>1</v>
      </c>
      <c r="Z36" s="206">
        <v>1</v>
      </c>
      <c r="AA36" s="206">
        <v>1</v>
      </c>
      <c r="AB36" s="206" t="s">
        <v>243</v>
      </c>
      <c r="AC36" s="206">
        <v>1610906183</v>
      </c>
      <c r="AD36" s="206" t="s">
        <v>244</v>
      </c>
      <c r="AE36" s="206">
        <v>65535</v>
      </c>
    </row>
    <row r="37" spans="1:31" x14ac:dyDescent="0.35">
      <c r="A37" s="206" t="s">
        <v>315</v>
      </c>
      <c r="B37" s="206" t="s">
        <v>21</v>
      </c>
      <c r="C37" s="206" t="s">
        <v>210</v>
      </c>
      <c r="D37" s="206">
        <v>8</v>
      </c>
      <c r="E37" s="206">
        <v>1000000</v>
      </c>
      <c r="F37" s="206">
        <v>21000</v>
      </c>
      <c r="G37" s="206">
        <v>979000</v>
      </c>
      <c r="H37" s="279" t="s">
        <v>419</v>
      </c>
      <c r="I37" s="281">
        <v>36258</v>
      </c>
      <c r="J37" s="206" t="s">
        <v>190</v>
      </c>
      <c r="K37" s="206">
        <v>1440966659</v>
      </c>
      <c r="L37" s="206" t="s">
        <v>240</v>
      </c>
      <c r="M37" s="206">
        <v>3560200</v>
      </c>
      <c r="N37" s="206" t="s">
        <v>246</v>
      </c>
      <c r="O37" s="206">
        <v>979000</v>
      </c>
      <c r="P37" s="206">
        <v>0</v>
      </c>
      <c r="Q37" s="206">
        <v>0</v>
      </c>
      <c r="R37" s="206">
        <v>0</v>
      </c>
      <c r="S37" s="206">
        <v>0</v>
      </c>
      <c r="T37" s="279" t="s">
        <v>420</v>
      </c>
      <c r="U37" s="206">
        <v>2</v>
      </c>
      <c r="V37" s="206">
        <v>2</v>
      </c>
      <c r="W37" s="206">
        <v>0</v>
      </c>
      <c r="X37" s="206" t="s">
        <v>316</v>
      </c>
      <c r="Y37" s="206">
        <v>2</v>
      </c>
      <c r="Z37" s="206">
        <v>0</v>
      </c>
      <c r="AA37" s="206">
        <v>0</v>
      </c>
      <c r="AB37" s="206" t="s">
        <v>243</v>
      </c>
      <c r="AC37" s="206">
        <v>1440966659</v>
      </c>
      <c r="AD37" s="206" t="s">
        <v>244</v>
      </c>
      <c r="AE37" s="206">
        <v>65535</v>
      </c>
    </row>
    <row r="38" spans="1:31" x14ac:dyDescent="0.35">
      <c r="A38" s="206" t="s">
        <v>317</v>
      </c>
      <c r="B38" s="206" t="s">
        <v>148</v>
      </c>
      <c r="C38" s="206" t="s">
        <v>149</v>
      </c>
      <c r="D38" s="206">
        <v>9</v>
      </c>
      <c r="E38" s="206">
        <v>1626000</v>
      </c>
      <c r="F38" s="206">
        <v>11382</v>
      </c>
      <c r="G38" s="206">
        <v>1614618</v>
      </c>
      <c r="H38" s="279" t="s">
        <v>421</v>
      </c>
      <c r="I38" s="281">
        <v>29930</v>
      </c>
      <c r="J38" s="206" t="s">
        <v>166</v>
      </c>
      <c r="K38" s="206">
        <v>1610104840</v>
      </c>
      <c r="L38" s="206" t="s">
        <v>240</v>
      </c>
      <c r="M38" s="206">
        <v>4935500</v>
      </c>
      <c r="N38" s="206" t="s">
        <v>254</v>
      </c>
      <c r="O38" s="206">
        <v>661993</v>
      </c>
      <c r="P38" s="206">
        <v>0</v>
      </c>
      <c r="Q38" s="206">
        <v>0</v>
      </c>
      <c r="R38" s="206">
        <v>952625</v>
      </c>
      <c r="S38" s="206">
        <v>0</v>
      </c>
      <c r="T38" s="279" t="s">
        <v>422</v>
      </c>
      <c r="U38" s="206">
        <v>2</v>
      </c>
      <c r="V38" s="206">
        <v>1</v>
      </c>
      <c r="W38" s="206">
        <v>16</v>
      </c>
      <c r="X38" s="206" t="s">
        <v>318</v>
      </c>
      <c r="Y38" s="206">
        <v>1</v>
      </c>
      <c r="Z38" s="206">
        <v>1</v>
      </c>
      <c r="AA38" s="206">
        <v>2</v>
      </c>
      <c r="AB38" s="206" t="s">
        <v>243</v>
      </c>
      <c r="AC38" s="206">
        <v>1610104840</v>
      </c>
      <c r="AD38" s="206" t="s">
        <v>244</v>
      </c>
      <c r="AE38" s="206">
        <v>70881</v>
      </c>
    </row>
    <row r="39" spans="1:31" x14ac:dyDescent="0.35">
      <c r="A39" s="206" t="s">
        <v>319</v>
      </c>
      <c r="B39" s="206" t="s">
        <v>21</v>
      </c>
      <c r="C39" s="206" t="s">
        <v>210</v>
      </c>
      <c r="D39" s="206">
        <v>8</v>
      </c>
      <c r="E39" s="206">
        <v>1000000</v>
      </c>
      <c r="F39" s="206">
        <v>3500</v>
      </c>
      <c r="G39" s="206">
        <v>996500</v>
      </c>
      <c r="H39" s="279" t="s">
        <v>423</v>
      </c>
      <c r="I39" s="281">
        <v>33460</v>
      </c>
      <c r="J39" s="206" t="s">
        <v>185</v>
      </c>
      <c r="K39" s="206">
        <v>1440924881</v>
      </c>
      <c r="L39" s="206" t="s">
        <v>240</v>
      </c>
      <c r="M39" s="206">
        <v>4196300</v>
      </c>
      <c r="N39" s="206" t="s">
        <v>249</v>
      </c>
      <c r="O39" s="206">
        <v>996500</v>
      </c>
      <c r="P39" s="206">
        <v>0</v>
      </c>
      <c r="Q39" s="206">
        <v>0</v>
      </c>
      <c r="R39" s="206">
        <v>0</v>
      </c>
      <c r="S39" s="206">
        <v>0</v>
      </c>
      <c r="T39" s="279" t="s">
        <v>424</v>
      </c>
      <c r="U39" s="206">
        <v>2</v>
      </c>
      <c r="V39" s="206">
        <v>2</v>
      </c>
      <c r="W39" s="206">
        <v>2</v>
      </c>
      <c r="X39" s="206" t="s">
        <v>320</v>
      </c>
      <c r="Y39" s="206">
        <v>1</v>
      </c>
      <c r="Z39" s="206">
        <v>1</v>
      </c>
      <c r="AA39" s="206">
        <v>1</v>
      </c>
      <c r="AB39" s="206" t="s">
        <v>243</v>
      </c>
      <c r="AC39" s="206">
        <v>1440924881</v>
      </c>
      <c r="AD39" s="206" t="s">
        <v>244</v>
      </c>
      <c r="AE39" s="206">
        <v>65535</v>
      </c>
    </row>
    <row r="40" spans="1:31" x14ac:dyDescent="0.35">
      <c r="A40" s="206" t="s">
        <v>321</v>
      </c>
      <c r="B40" s="206" t="s">
        <v>152</v>
      </c>
      <c r="C40" s="206" t="s">
        <v>322</v>
      </c>
      <c r="D40" s="206">
        <v>11</v>
      </c>
      <c r="E40" s="206">
        <v>4569000</v>
      </c>
      <c r="F40" s="206">
        <v>0</v>
      </c>
      <c r="G40" s="206">
        <v>4569000</v>
      </c>
      <c r="H40" s="279" t="s">
        <v>86</v>
      </c>
      <c r="I40" s="281">
        <v>28363</v>
      </c>
      <c r="J40" s="206" t="s">
        <v>209</v>
      </c>
      <c r="K40" s="206">
        <v>1610102485</v>
      </c>
      <c r="L40" s="206" t="s">
        <v>240</v>
      </c>
      <c r="M40" s="206">
        <v>5967000</v>
      </c>
      <c r="N40" s="206" t="s">
        <v>254</v>
      </c>
      <c r="O40" s="206">
        <v>3289680</v>
      </c>
      <c r="P40" s="206">
        <v>0</v>
      </c>
      <c r="Q40" s="206">
        <v>0</v>
      </c>
      <c r="R40" s="206">
        <v>1279320</v>
      </c>
      <c r="S40" s="206">
        <v>0</v>
      </c>
      <c r="T40" s="279" t="s">
        <v>425</v>
      </c>
      <c r="U40" s="206">
        <v>2</v>
      </c>
      <c r="V40" s="206">
        <v>1</v>
      </c>
      <c r="W40" s="206">
        <v>19</v>
      </c>
      <c r="X40" s="206" t="s">
        <v>323</v>
      </c>
      <c r="Y40" s="206">
        <v>1</v>
      </c>
      <c r="Z40" s="206">
        <v>1</v>
      </c>
      <c r="AA40" s="206">
        <v>2</v>
      </c>
      <c r="AB40" s="206" t="s">
        <v>243</v>
      </c>
      <c r="AC40" s="206">
        <v>1610102485</v>
      </c>
      <c r="AD40" s="206" t="s">
        <v>244</v>
      </c>
      <c r="AE40" s="206">
        <v>78605</v>
      </c>
    </row>
    <row r="41" spans="1:31" x14ac:dyDescent="0.35">
      <c r="A41" s="206" t="s">
        <v>324</v>
      </c>
      <c r="B41" s="206" t="s">
        <v>148</v>
      </c>
      <c r="C41" s="206" t="s">
        <v>149</v>
      </c>
      <c r="D41" s="206">
        <v>9</v>
      </c>
      <c r="E41" s="206">
        <v>1626000</v>
      </c>
      <c r="F41" s="206">
        <v>0</v>
      </c>
      <c r="G41" s="206">
        <v>1626000</v>
      </c>
      <c r="H41" s="279" t="s">
        <v>426</v>
      </c>
      <c r="I41" s="281">
        <v>25814</v>
      </c>
      <c r="J41" s="206" t="s">
        <v>157</v>
      </c>
      <c r="K41" s="206">
        <v>1610100141</v>
      </c>
      <c r="L41" s="206" t="s">
        <v>240</v>
      </c>
      <c r="M41" s="206">
        <v>5207400</v>
      </c>
      <c r="N41" s="206" t="s">
        <v>249</v>
      </c>
      <c r="O41" s="206">
        <v>666660</v>
      </c>
      <c r="P41" s="206">
        <v>0</v>
      </c>
      <c r="Q41" s="206">
        <v>0</v>
      </c>
      <c r="R41" s="206">
        <v>959340</v>
      </c>
      <c r="S41" s="206">
        <v>0</v>
      </c>
      <c r="T41" s="279" t="s">
        <v>427</v>
      </c>
      <c r="U41" s="206">
        <v>2</v>
      </c>
      <c r="V41" s="206">
        <v>1</v>
      </c>
      <c r="W41" s="206">
        <v>22</v>
      </c>
      <c r="X41" s="206" t="s">
        <v>325</v>
      </c>
      <c r="Y41" s="206">
        <v>1</v>
      </c>
      <c r="Z41" s="206">
        <v>1</v>
      </c>
      <c r="AA41" s="206">
        <v>0</v>
      </c>
      <c r="AB41" s="206" t="s">
        <v>243</v>
      </c>
      <c r="AC41" s="206">
        <v>1610100141</v>
      </c>
      <c r="AD41" s="206" t="s">
        <v>244</v>
      </c>
      <c r="AE41" s="206">
        <v>65535</v>
      </c>
    </row>
    <row r="42" spans="1:31" x14ac:dyDescent="0.35">
      <c r="A42" s="206" t="s">
        <v>326</v>
      </c>
      <c r="B42" s="206" t="s">
        <v>148</v>
      </c>
      <c r="C42" s="206" t="s">
        <v>149</v>
      </c>
      <c r="D42" s="206">
        <v>9</v>
      </c>
      <c r="E42" s="206">
        <v>1626000</v>
      </c>
      <c r="F42" s="206">
        <v>5691</v>
      </c>
      <c r="G42" s="206">
        <v>1620309</v>
      </c>
      <c r="H42" s="279" t="s">
        <v>428</v>
      </c>
      <c r="I42" s="281">
        <v>27518</v>
      </c>
      <c r="J42" s="206" t="s">
        <v>159</v>
      </c>
      <c r="K42" s="206">
        <v>1610901665</v>
      </c>
      <c r="L42" s="206" t="s">
        <v>240</v>
      </c>
      <c r="M42" s="206">
        <v>4935500</v>
      </c>
      <c r="N42" s="206" t="s">
        <v>254</v>
      </c>
      <c r="O42" s="206">
        <v>664327</v>
      </c>
      <c r="P42" s="206">
        <v>0</v>
      </c>
      <c r="Q42" s="206">
        <v>0</v>
      </c>
      <c r="R42" s="206">
        <v>955982</v>
      </c>
      <c r="S42" s="206">
        <v>0</v>
      </c>
      <c r="T42" s="279" t="s">
        <v>429</v>
      </c>
      <c r="U42" s="206">
        <v>2</v>
      </c>
      <c r="V42" s="206">
        <v>1</v>
      </c>
      <c r="W42" s="206">
        <v>16</v>
      </c>
      <c r="X42" s="206" t="s">
        <v>327</v>
      </c>
      <c r="Y42" s="206">
        <v>1</v>
      </c>
      <c r="Z42" s="206">
        <v>1</v>
      </c>
      <c r="AA42" s="206">
        <v>2</v>
      </c>
      <c r="AB42" s="206" t="s">
        <v>243</v>
      </c>
      <c r="AC42" s="206">
        <v>1610901665</v>
      </c>
      <c r="AD42" s="206" t="s">
        <v>244</v>
      </c>
      <c r="AE42" s="206">
        <v>73880</v>
      </c>
    </row>
    <row r="43" spans="1:31" x14ac:dyDescent="0.35">
      <c r="A43" s="206" t="s">
        <v>328</v>
      </c>
      <c r="B43" s="206" t="s">
        <v>148</v>
      </c>
      <c r="C43" s="206" t="s">
        <v>149</v>
      </c>
      <c r="D43" s="206">
        <v>9</v>
      </c>
      <c r="E43" s="206">
        <v>1626000</v>
      </c>
      <c r="F43" s="206">
        <v>0</v>
      </c>
      <c r="G43" s="206">
        <v>1626000</v>
      </c>
      <c r="H43" s="279" t="s">
        <v>430</v>
      </c>
      <c r="I43" s="281">
        <v>29462</v>
      </c>
      <c r="J43" s="206" t="s">
        <v>162</v>
      </c>
      <c r="K43" s="206">
        <v>1610104837</v>
      </c>
      <c r="L43" s="206" t="s">
        <v>240</v>
      </c>
      <c r="M43" s="206">
        <v>4935500</v>
      </c>
      <c r="N43" s="206" t="s">
        <v>254</v>
      </c>
      <c r="O43" s="206">
        <v>666660</v>
      </c>
      <c r="P43" s="206">
        <v>0</v>
      </c>
      <c r="Q43" s="206">
        <v>0</v>
      </c>
      <c r="R43" s="206">
        <v>959340</v>
      </c>
      <c r="S43" s="206">
        <v>0</v>
      </c>
      <c r="T43" s="279" t="s">
        <v>431</v>
      </c>
      <c r="U43" s="206">
        <v>2</v>
      </c>
      <c r="V43" s="206">
        <v>1</v>
      </c>
      <c r="W43" s="206">
        <v>16</v>
      </c>
      <c r="X43" s="206" t="s">
        <v>329</v>
      </c>
      <c r="Y43" s="206">
        <v>1</v>
      </c>
      <c r="Z43" s="206">
        <v>1</v>
      </c>
      <c r="AA43" s="206">
        <v>2</v>
      </c>
      <c r="AB43" s="206" t="s">
        <v>243</v>
      </c>
      <c r="AC43" s="206">
        <v>1610104837</v>
      </c>
      <c r="AD43" s="206" t="s">
        <v>244</v>
      </c>
      <c r="AE43" s="206">
        <v>70881</v>
      </c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19" sqref="E19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116</v>
      </c>
      <c r="B1" s="235" t="s">
        <v>117</v>
      </c>
      <c r="C1" s="236" t="s">
        <v>118</v>
      </c>
      <c r="D1" s="237" t="s">
        <v>119</v>
      </c>
      <c r="E1" s="238" t="s">
        <v>120</v>
      </c>
      <c r="F1" s="235" t="s">
        <v>121</v>
      </c>
      <c r="G1" s="235" t="s">
        <v>122</v>
      </c>
      <c r="H1" s="235" t="s">
        <v>123</v>
      </c>
      <c r="I1" s="235" t="s">
        <v>124</v>
      </c>
      <c r="J1" s="235" t="s">
        <v>125</v>
      </c>
      <c r="K1" s="235" t="s">
        <v>126</v>
      </c>
      <c r="L1" s="235" t="s">
        <v>127</v>
      </c>
      <c r="M1" s="235" t="s">
        <v>128</v>
      </c>
      <c r="N1" s="235" t="s">
        <v>129</v>
      </c>
      <c r="O1" s="235" t="s">
        <v>130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131</v>
      </c>
      <c r="V1" s="235" t="s">
        <v>132</v>
      </c>
      <c r="W1" s="235" t="s">
        <v>133</v>
      </c>
      <c r="X1" s="235" t="s">
        <v>134</v>
      </c>
      <c r="Y1" s="235" t="s">
        <v>135</v>
      </c>
      <c r="Z1" s="235" t="s">
        <v>136</v>
      </c>
      <c r="AA1" s="235" t="s">
        <v>137</v>
      </c>
      <c r="AB1" s="235" t="s">
        <v>138</v>
      </c>
      <c r="AC1" s="235" t="s">
        <v>139</v>
      </c>
      <c r="AD1" s="235" t="s">
        <v>140</v>
      </c>
      <c r="AE1" s="235" t="s">
        <v>141</v>
      </c>
      <c r="AF1" s="235" t="s">
        <v>142</v>
      </c>
      <c r="AG1" s="235" t="s">
        <v>143</v>
      </c>
      <c r="AH1" s="243" t="s">
        <v>144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1904011004670001</v>
      </c>
      <c r="D2" s="225" t="str">
        <f>IFERROR(INDEX(rekap_tpp[], MATCH(A2, INDEX(rekap_tpp[], 0, 8), 0), 10), "NIP tidak ditemukan")</f>
        <v>80.527.615.1-315.000</v>
      </c>
      <c r="E2" s="226">
        <f>IFERROR(INDEX(rekap_tpp[], MATCH(A2, INDEX(rekap_tpp[], 0, 8), 0), 9), "NIP tidak ditemukan")</f>
        <v>24572</v>
      </c>
      <c r="F2" s="223">
        <v>2</v>
      </c>
      <c r="G2" s="223" t="s">
        <v>145</v>
      </c>
      <c r="H2" s="223" t="s">
        <v>146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147</v>
      </c>
      <c r="O2" s="223">
        <f>IFERROR(INDEX(rekap_tpp[], MATCH(A2, INDEX(rekap_tpp[], 0, 8), 0), 11), "NIP tidak ditemukan")</f>
        <v>1610800075</v>
      </c>
      <c r="P2" s="244">
        <f>'rekap nominatif etukin'!C6</f>
        <v>1100000</v>
      </c>
      <c r="Q2" s="245">
        <f>'rekap nominatif etukin'!D6</f>
        <v>0</v>
      </c>
      <c r="R2" s="245">
        <f>'rekap nominatif etukin'!E6</f>
        <v>0</v>
      </c>
      <c r="S2" s="245">
        <f>'rekap nominatif etukin'!F6</f>
        <v>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>
        <f>AF2*1%</f>
        <v>11000</v>
      </c>
      <c r="AC2" s="223"/>
      <c r="AD2" s="223">
        <v>0</v>
      </c>
      <c r="AE2" s="223">
        <v>0</v>
      </c>
      <c r="AF2" s="246">
        <f t="shared" ref="AF2:AF15" si="0">P2+T2</f>
        <v>1100000</v>
      </c>
      <c r="AG2" s="247">
        <f>V2+AC2+AB2</f>
        <v>11000</v>
      </c>
      <c r="AH2" s="248">
        <f>AF2-AG2</f>
        <v>1089000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1904014705760002</v>
      </c>
      <c r="D3" s="225" t="str">
        <f>IFERROR(INDEX(rekap_tpp[], MATCH(A3, INDEX(rekap_tpp[], 0, 8), 0), 10), "NIP tidak ditemukan")</f>
        <v>40.412.808.4-315.000</v>
      </c>
      <c r="E3" s="226">
        <f>IFERROR(INDEX(rekap_tpp[], MATCH(A3, INDEX(rekap_tpp[], 0, 8), 0), 9), "NIP tidak ditemukan")</f>
        <v>27887</v>
      </c>
      <c r="F3" s="223">
        <v>2</v>
      </c>
      <c r="G3" s="223" t="s">
        <v>145</v>
      </c>
      <c r="H3" s="223" t="s">
        <v>146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147</v>
      </c>
      <c r="O3" s="223">
        <f>IFERROR(INDEX(rekap_tpp[], MATCH(A3, INDEX(rekap_tpp[], 0, 8), 0), 11), "NIP tidak ditemukan")</f>
        <v>1610907514</v>
      </c>
      <c r="P3" s="244">
        <f>'rekap nominatif etukin'!C7</f>
        <v>1000000</v>
      </c>
      <c r="Q3" s="245">
        <f>'rekap nominatif etukin'!D7</f>
        <v>0</v>
      </c>
      <c r="R3" s="245">
        <f>'rekap nominatif etukin'!E7</f>
        <v>0</v>
      </c>
      <c r="S3" s="245">
        <f>'rekap nominatif etukin'!F7</f>
        <v>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>
        <f t="shared" ref="AB3:AB15" si="1">AF3*1%</f>
        <v>10000</v>
      </c>
      <c r="AC3" s="223"/>
      <c r="AD3" s="223">
        <v>0</v>
      </c>
      <c r="AE3" s="223">
        <v>0</v>
      </c>
      <c r="AF3" s="246">
        <f t="shared" si="0"/>
        <v>1000000</v>
      </c>
      <c r="AG3" s="247">
        <f t="shared" ref="AG3:AG15" si="2">V3+AC3+AB3</f>
        <v>10000</v>
      </c>
      <c r="AH3" s="248">
        <f t="shared" ref="AH3:AH15" si="3">AF3-AG3</f>
        <v>990000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1905066706860001</v>
      </c>
      <c r="D4" s="225" t="str">
        <f>IFERROR(INDEX(rekap_tpp[], MATCH(A4, INDEX(rekap_tpp[], 0, 8), 0), 10), "NIP tidak ditemukan")</f>
        <v>66.158.510.9-315.000</v>
      </c>
      <c r="E4" s="226">
        <f>IFERROR(INDEX(rekap_tpp[], MATCH(A4, INDEX(rekap_tpp[], 0, 8), 0), 9), "NIP tidak ditemukan")</f>
        <v>31590</v>
      </c>
      <c r="F4" s="223">
        <v>2</v>
      </c>
      <c r="G4" s="223" t="s">
        <v>145</v>
      </c>
      <c r="H4" s="223" t="s">
        <v>146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147</v>
      </c>
      <c r="O4" s="223">
        <f>IFERROR(INDEX(rekap_tpp[], MATCH(A4, INDEX(rekap_tpp[], 0, 8), 0), 11), "NIP tidak ditemukan")</f>
        <v>1820903520</v>
      </c>
      <c r="P4" s="244">
        <f>'rekap nominatif etukin'!C8</f>
        <v>996500</v>
      </c>
      <c r="Q4" s="245">
        <f>'rekap nominatif etukin'!D8</f>
        <v>0</v>
      </c>
      <c r="R4" s="245">
        <f>'rekap nominatif etukin'!E8</f>
        <v>0</v>
      </c>
      <c r="S4" s="245">
        <f>'rekap nominatif etukin'!F8</f>
        <v>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>
        <f t="shared" si="1"/>
        <v>9965</v>
      </c>
      <c r="AC4" s="223"/>
      <c r="AD4" s="223">
        <v>0</v>
      </c>
      <c r="AE4" s="223">
        <v>0</v>
      </c>
      <c r="AF4" s="246">
        <f t="shared" si="0"/>
        <v>996500</v>
      </c>
      <c r="AG4" s="247">
        <f t="shared" si="2"/>
        <v>9965</v>
      </c>
      <c r="AH4" s="248">
        <f t="shared" si="3"/>
        <v>986535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1305070107890023</v>
      </c>
      <c r="D5" s="225" t="str">
        <f>IFERROR(INDEX(rekap_tpp[], MATCH(A5, INDEX(rekap_tpp[], 0, 8), 0), 10), "NIP tidak ditemukan")</f>
        <v>39.870.052.6-304.000</v>
      </c>
      <c r="E5" s="226">
        <f>IFERROR(INDEX(rekap_tpp[], MATCH(A5, INDEX(rekap_tpp[], 0, 8), 0), 9), "NIP tidak ditemukan")</f>
        <v>32690</v>
      </c>
      <c r="F5" s="223">
        <v>2</v>
      </c>
      <c r="G5" s="223" t="s">
        <v>145</v>
      </c>
      <c r="H5" s="223" t="s">
        <v>146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147</v>
      </c>
      <c r="O5" s="223">
        <f>IFERROR(INDEX(rekap_tpp[], MATCH(A5, INDEX(rekap_tpp[], 0, 8), 0), 11), "NIP tidak ditemukan")</f>
        <v>16109000456</v>
      </c>
      <c r="P5" s="244">
        <f>'rekap nominatif etukin'!C9</f>
        <v>1000000</v>
      </c>
      <c r="Q5" s="245">
        <f>'rekap nominatif etukin'!D9</f>
        <v>0</v>
      </c>
      <c r="R5" s="245">
        <f>'rekap nominatif etukin'!E9</f>
        <v>0</v>
      </c>
      <c r="S5" s="245">
        <f>'rekap nominatif etukin'!F9</f>
        <v>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>
        <f t="shared" si="1"/>
        <v>10000</v>
      </c>
      <c r="AC5" s="223"/>
      <c r="AD5" s="223">
        <v>0</v>
      </c>
      <c r="AE5" s="223">
        <v>0</v>
      </c>
      <c r="AF5" s="246">
        <f t="shared" si="0"/>
        <v>1000000</v>
      </c>
      <c r="AG5" s="247">
        <f t="shared" si="2"/>
        <v>10000</v>
      </c>
      <c r="AH5" s="248">
        <f t="shared" si="3"/>
        <v>990000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1904052909890001</v>
      </c>
      <c r="D6" s="225" t="str">
        <f>IFERROR(INDEX(rekap_tpp[], MATCH(A6, INDEX(rekap_tpp[], 0, 8), 0), 10), "NIP tidak ditemukan")</f>
        <v>65.306.654.8-315.000</v>
      </c>
      <c r="E6" s="226">
        <f>IFERROR(INDEX(rekap_tpp[], MATCH(A6, INDEX(rekap_tpp[], 0, 8), 0), 9), "NIP tidak ditemukan")</f>
        <v>32780</v>
      </c>
      <c r="F6" s="223">
        <v>2</v>
      </c>
      <c r="G6" s="223" t="s">
        <v>145</v>
      </c>
      <c r="H6" s="223" t="s">
        <v>146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147</v>
      </c>
      <c r="O6" s="223">
        <f>IFERROR(INDEX(rekap_tpp[], MATCH(A6, INDEX(rekap_tpp[], 0, 8), 0), 11), "NIP tidak ditemukan")</f>
        <v>1610906064</v>
      </c>
      <c r="P6" s="244">
        <f>'rekap nominatif etukin'!C10</f>
        <v>982000</v>
      </c>
      <c r="Q6" s="245">
        <f>'rekap nominatif etukin'!D10</f>
        <v>0</v>
      </c>
      <c r="R6" s="245">
        <f>'rekap nominatif etukin'!E10</f>
        <v>0</v>
      </c>
      <c r="S6" s="245">
        <f>'rekap nominatif etukin'!F10</f>
        <v>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>
        <f t="shared" si="1"/>
        <v>9820</v>
      </c>
      <c r="AC6" s="223"/>
      <c r="AD6" s="223">
        <v>0</v>
      </c>
      <c r="AE6" s="223">
        <v>0</v>
      </c>
      <c r="AF6" s="246">
        <f t="shared" si="0"/>
        <v>982000</v>
      </c>
      <c r="AG6" s="247">
        <f t="shared" si="2"/>
        <v>9820</v>
      </c>
      <c r="AH6" s="248">
        <f t="shared" si="3"/>
        <v>972180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1904014205900002</v>
      </c>
      <c r="D7" s="225" t="str">
        <f>IFERROR(INDEX(rekap_tpp[], MATCH(A7, INDEX(rekap_tpp[], 0, 8), 0), 10), "NIP tidak ditemukan")</f>
        <v>84.574.222.0-315.000</v>
      </c>
      <c r="E7" s="226">
        <f>IFERROR(INDEX(rekap_tpp[], MATCH(A7, INDEX(rekap_tpp[], 0, 8), 0), 9), "NIP tidak ditemukan")</f>
        <v>32995</v>
      </c>
      <c r="F7" s="223">
        <v>2</v>
      </c>
      <c r="G7" s="223" t="s">
        <v>145</v>
      </c>
      <c r="H7" s="223" t="s">
        <v>146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147</v>
      </c>
      <c r="O7" s="223">
        <f>IFERROR(INDEX(rekap_tpp[], MATCH(A7, INDEX(rekap_tpp[], 0, 8), 0), 11), "NIP tidak ditemukan")</f>
        <v>1610108232</v>
      </c>
      <c r="P7" s="244">
        <f>'rekap nominatif etukin'!C11</f>
        <v>996500</v>
      </c>
      <c r="Q7" s="245">
        <f>'rekap nominatif etukin'!D11</f>
        <v>0</v>
      </c>
      <c r="R7" s="245">
        <f>'rekap nominatif etukin'!E11</f>
        <v>0</v>
      </c>
      <c r="S7" s="245">
        <f>'rekap nominatif etukin'!F11</f>
        <v>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>
        <f t="shared" si="1"/>
        <v>9965</v>
      </c>
      <c r="AC7" s="223"/>
      <c r="AD7" s="223">
        <v>0</v>
      </c>
      <c r="AE7" s="223">
        <v>0</v>
      </c>
      <c r="AF7" s="246">
        <f t="shared" si="0"/>
        <v>996500</v>
      </c>
      <c r="AG7" s="247">
        <f t="shared" si="2"/>
        <v>9965</v>
      </c>
      <c r="AH7" s="248">
        <f t="shared" si="3"/>
        <v>986535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1904015008910002</v>
      </c>
      <c r="D8" s="225" t="str">
        <f>IFERROR(INDEX(rekap_tpp[], MATCH(A8, INDEX(rekap_tpp[], 0, 8), 0), 10), "NIP tidak ditemukan")</f>
        <v>63.796.976.7-315.000</v>
      </c>
      <c r="E8" s="226">
        <f>IFERROR(INDEX(rekap_tpp[], MATCH(A8, INDEX(rekap_tpp[], 0, 8), 0), 9), "NIP tidak ditemukan")</f>
        <v>33460</v>
      </c>
      <c r="F8" s="223">
        <v>2</v>
      </c>
      <c r="G8" s="223" t="s">
        <v>145</v>
      </c>
      <c r="H8" s="223" t="s">
        <v>146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147</v>
      </c>
      <c r="O8" s="223">
        <f>IFERROR(INDEX(rekap_tpp[], MATCH(A8, INDEX(rekap_tpp[], 0, 8), 0), 11), "NIP tidak ditemukan")</f>
        <v>1440924881</v>
      </c>
      <c r="P8" s="244">
        <f>'rekap nominatif etukin'!C12</f>
        <v>996500</v>
      </c>
      <c r="Q8" s="245">
        <f>'rekap nominatif etukin'!D12</f>
        <v>0</v>
      </c>
      <c r="R8" s="245">
        <f>'rekap nominatif etukin'!E12</f>
        <v>0</v>
      </c>
      <c r="S8" s="245">
        <f>'rekap nominatif etukin'!F12</f>
        <v>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>
        <f t="shared" si="1"/>
        <v>9965</v>
      </c>
      <c r="AC8" s="223"/>
      <c r="AD8" s="223">
        <v>0</v>
      </c>
      <c r="AE8" s="223">
        <v>0</v>
      </c>
      <c r="AF8" s="246">
        <f t="shared" si="0"/>
        <v>996500</v>
      </c>
      <c r="AG8" s="247">
        <f t="shared" si="2"/>
        <v>9965</v>
      </c>
      <c r="AH8" s="248">
        <f t="shared" si="3"/>
        <v>986535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1904010107920063</v>
      </c>
      <c r="D9" s="225" t="str">
        <f>IFERROR(INDEX(rekap_tpp[], MATCH(A9, INDEX(rekap_tpp[], 0, 8), 0), 10), "NIP tidak ditemukan")</f>
        <v>94.808.446.2-315.000</v>
      </c>
      <c r="E9" s="226">
        <f>IFERROR(INDEX(rekap_tpp[], MATCH(A9, INDEX(rekap_tpp[], 0, 8), 0), 9), "NIP tidak ditemukan")</f>
        <v>33803</v>
      </c>
      <c r="F9" s="223">
        <v>2</v>
      </c>
      <c r="G9" s="223" t="s">
        <v>145</v>
      </c>
      <c r="H9" s="223" t="s">
        <v>146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147</v>
      </c>
      <c r="O9" s="223">
        <f>IFERROR(INDEX(rekap_tpp[], MATCH(A9, INDEX(rekap_tpp[], 0, 8), 0), 11), "NIP tidak ditemukan")</f>
        <v>16109012260</v>
      </c>
      <c r="P9" s="244">
        <f>'rekap nominatif etukin'!C13</f>
        <v>989500</v>
      </c>
      <c r="Q9" s="245">
        <f>'rekap nominatif etukin'!D13</f>
        <v>0</v>
      </c>
      <c r="R9" s="245">
        <f>'rekap nominatif etukin'!E13</f>
        <v>0</v>
      </c>
      <c r="S9" s="245">
        <f>'rekap nominatif etukin'!F13</f>
        <v>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>
        <f t="shared" si="1"/>
        <v>9895</v>
      </c>
      <c r="AC9" s="223"/>
      <c r="AD9" s="223">
        <v>0</v>
      </c>
      <c r="AE9" s="223">
        <v>0</v>
      </c>
      <c r="AF9" s="246">
        <f t="shared" si="0"/>
        <v>989500</v>
      </c>
      <c r="AG9" s="247">
        <f t="shared" si="2"/>
        <v>9895</v>
      </c>
      <c r="AH9" s="248">
        <f t="shared" si="3"/>
        <v>979605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1904012404930003</v>
      </c>
      <c r="D10" s="225" t="str">
        <f>IFERROR(INDEX(rekap_tpp[], MATCH(A10, INDEX(rekap_tpp[], 0, 8), 0), 10), "NIP tidak ditemukan")</f>
        <v>65.652.407.1-315.000</v>
      </c>
      <c r="E10" s="226">
        <f>IFERROR(INDEX(rekap_tpp[], MATCH(A10, INDEX(rekap_tpp[], 0, 8), 0), 9), "NIP tidak ditemukan")</f>
        <v>34083</v>
      </c>
      <c r="F10" s="223">
        <v>2</v>
      </c>
      <c r="G10" s="223" t="s">
        <v>145</v>
      </c>
      <c r="H10" s="223" t="s">
        <v>146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147</v>
      </c>
      <c r="O10" s="223">
        <f>IFERROR(INDEX(rekap_tpp[], MATCH(A10, INDEX(rekap_tpp[], 0, 8), 0), 11), "NIP tidak ditemukan")</f>
        <v>16109012254</v>
      </c>
      <c r="P10" s="244">
        <f>'rekap nominatif etukin'!C14</f>
        <v>963500</v>
      </c>
      <c r="Q10" s="245">
        <f>'rekap nominatif etukin'!D14</f>
        <v>0</v>
      </c>
      <c r="R10" s="245">
        <f>'rekap nominatif etukin'!E14</f>
        <v>0</v>
      </c>
      <c r="S10" s="245">
        <f>'rekap nominatif etukin'!F14</f>
        <v>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>
        <f t="shared" si="1"/>
        <v>9635</v>
      </c>
      <c r="AC10" s="223"/>
      <c r="AD10" s="223">
        <v>0</v>
      </c>
      <c r="AE10" s="223">
        <v>0</v>
      </c>
      <c r="AF10" s="246">
        <f t="shared" si="0"/>
        <v>963500</v>
      </c>
      <c r="AG10" s="247">
        <f t="shared" si="2"/>
        <v>9635</v>
      </c>
      <c r="AH10" s="248">
        <f t="shared" si="3"/>
        <v>953865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1904012312940001</v>
      </c>
      <c r="D11" s="225" t="str">
        <f>IFERROR(INDEX(rekap_tpp[], MATCH(A11, INDEX(rekap_tpp[], 0, 8), 0), 10), "NIP tidak ditemukan")</f>
        <v>65.667.727.5-315.000</v>
      </c>
      <c r="E11" s="226">
        <f>IFERROR(INDEX(rekap_tpp[], MATCH(A11, INDEX(rekap_tpp[], 0, 8), 0), 9), "NIP tidak ditemukan")</f>
        <v>34691</v>
      </c>
      <c r="F11" s="223">
        <v>2</v>
      </c>
      <c r="G11" s="223" t="s">
        <v>145</v>
      </c>
      <c r="H11" s="223" t="s">
        <v>146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147</v>
      </c>
      <c r="O11" s="223">
        <f>IFERROR(INDEX(rekap_tpp[], MATCH(A11, INDEX(rekap_tpp[], 0, 8), 0), 11), "NIP tidak ditemukan")</f>
        <v>1610906183</v>
      </c>
      <c r="P11" s="244">
        <f>'rekap nominatif etukin'!C15</f>
        <v>1000000</v>
      </c>
      <c r="Q11" s="245">
        <f>'rekap nominatif etukin'!D15</f>
        <v>0</v>
      </c>
      <c r="R11" s="245">
        <f>'rekap nominatif etukin'!E15</f>
        <v>0</v>
      </c>
      <c r="S11" s="245">
        <f>'rekap nominatif etukin'!F15</f>
        <v>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>
        <f t="shared" si="1"/>
        <v>10000</v>
      </c>
      <c r="AC11" s="223"/>
      <c r="AD11" s="223">
        <v>0</v>
      </c>
      <c r="AE11" s="223">
        <v>0</v>
      </c>
      <c r="AF11" s="246">
        <f t="shared" si="0"/>
        <v>1000000</v>
      </c>
      <c r="AG11" s="247">
        <f t="shared" si="2"/>
        <v>10000</v>
      </c>
      <c r="AH11" s="248">
        <f t="shared" si="3"/>
        <v>990000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1904017006950002</v>
      </c>
      <c r="D12" s="225" t="str">
        <f>IFERROR(INDEX(rekap_tpp[], MATCH(A12, INDEX(rekap_tpp[], 0, 8), 0), 10), "NIP tidak ditemukan")</f>
        <v>20.220.042.4-315.000</v>
      </c>
      <c r="E12" s="226">
        <f>IFERROR(INDEX(rekap_tpp[], MATCH(A12, INDEX(rekap_tpp[], 0, 8), 0), 9), "NIP tidak ditemukan")</f>
        <v>34880</v>
      </c>
      <c r="F12" s="223">
        <v>2</v>
      </c>
      <c r="G12" s="223" t="s">
        <v>145</v>
      </c>
      <c r="H12" s="223" t="s">
        <v>146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147</v>
      </c>
      <c r="O12" s="223">
        <f>IFERROR(INDEX(rekap_tpp[], MATCH(A12, INDEX(rekap_tpp[], 0, 8), 0), 11), "NIP tidak ditemukan")</f>
        <v>16109000347</v>
      </c>
      <c r="P12" s="244">
        <f>'rekap nominatif etukin'!C16</f>
        <v>1000000</v>
      </c>
      <c r="Q12" s="245">
        <f>'rekap nominatif etukin'!D16</f>
        <v>0</v>
      </c>
      <c r="R12" s="245">
        <f>'rekap nominatif etukin'!E16</f>
        <v>0</v>
      </c>
      <c r="S12" s="245">
        <f>'rekap nominatif etukin'!F16</f>
        <v>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>
        <f t="shared" si="1"/>
        <v>10000</v>
      </c>
      <c r="AC12" s="223"/>
      <c r="AD12" s="223">
        <v>0</v>
      </c>
      <c r="AE12" s="223">
        <v>0</v>
      </c>
      <c r="AF12" s="246">
        <f t="shared" si="0"/>
        <v>1000000</v>
      </c>
      <c r="AG12" s="247">
        <f t="shared" si="2"/>
        <v>10000</v>
      </c>
      <c r="AH12" s="248">
        <f t="shared" si="3"/>
        <v>990000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1971044804990001</v>
      </c>
      <c r="D13" s="225" t="str">
        <f>IFERROR(INDEX(rekap_tpp[], MATCH(A13, INDEX(rekap_tpp[], 0, 8), 0), 10), "NIP tidak ditemukan")</f>
        <v>20.510.513.3-304.000</v>
      </c>
      <c r="E13" s="226">
        <f>IFERROR(INDEX(rekap_tpp[], MATCH(A13, INDEX(rekap_tpp[], 0, 8), 0), 9), "NIP tidak ditemukan")</f>
        <v>36258</v>
      </c>
      <c r="F13" s="223">
        <v>2</v>
      </c>
      <c r="G13" s="223" t="s">
        <v>145</v>
      </c>
      <c r="H13" s="223" t="s">
        <v>146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147</v>
      </c>
      <c r="O13" s="223">
        <f>IFERROR(INDEX(rekap_tpp[], MATCH(A13, INDEX(rekap_tpp[], 0, 8), 0), 11), "NIP tidak ditemukan")</f>
        <v>1440966659</v>
      </c>
      <c r="P13" s="244">
        <f>'rekap nominatif etukin'!C17</f>
        <v>979000</v>
      </c>
      <c r="Q13" s="245">
        <f>'rekap nominatif etukin'!D17</f>
        <v>0</v>
      </c>
      <c r="R13" s="245">
        <f>'rekap nominatif etukin'!E17</f>
        <v>0</v>
      </c>
      <c r="S13" s="245">
        <f>'rekap nominatif etukin'!F17</f>
        <v>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>
        <f t="shared" si="1"/>
        <v>9790</v>
      </c>
      <c r="AC13" s="223"/>
      <c r="AD13" s="223">
        <v>0</v>
      </c>
      <c r="AE13" s="223">
        <v>0</v>
      </c>
      <c r="AF13" s="246">
        <f t="shared" si="0"/>
        <v>979000</v>
      </c>
      <c r="AG13" s="247">
        <f t="shared" si="2"/>
        <v>9790</v>
      </c>
      <c r="AH13" s="248">
        <f t="shared" si="3"/>
        <v>969210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1971041707990003</v>
      </c>
      <c r="D14" s="225" t="str">
        <f>IFERROR(INDEX(rekap_tpp[], MATCH(A14, INDEX(rekap_tpp[], 0, 8), 0), 10), "NIP tidak ditemukan")</f>
        <v>20.202.776.9-304.000</v>
      </c>
      <c r="E14" s="226">
        <f>IFERROR(INDEX(rekap_tpp[], MATCH(A14, INDEX(rekap_tpp[], 0, 8), 0), 9), "NIP tidak ditemukan")</f>
        <v>36358</v>
      </c>
      <c r="F14" s="223">
        <v>2</v>
      </c>
      <c r="G14" s="223" t="s">
        <v>145</v>
      </c>
      <c r="H14" s="223" t="s">
        <v>146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147</v>
      </c>
      <c r="O14" s="223">
        <f>IFERROR(INDEX(rekap_tpp[], MATCH(A14, INDEX(rekap_tpp[], 0, 8), 0), 11), "NIP tidak ditemukan")</f>
        <v>1440966672</v>
      </c>
      <c r="P14" s="244">
        <f>'rekap nominatif etukin'!C18</f>
        <v>1000000</v>
      </c>
      <c r="Q14" s="245">
        <f>'rekap nominatif etukin'!D18</f>
        <v>0</v>
      </c>
      <c r="R14" s="245">
        <f>'rekap nominatif etukin'!E18</f>
        <v>0</v>
      </c>
      <c r="S14" s="245">
        <f>'rekap nominatif etukin'!F18</f>
        <v>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>
        <f t="shared" si="1"/>
        <v>10000</v>
      </c>
      <c r="AC14" s="223"/>
      <c r="AD14" s="223">
        <v>0</v>
      </c>
      <c r="AE14" s="223">
        <v>0</v>
      </c>
      <c r="AF14" s="246">
        <f t="shared" si="0"/>
        <v>1000000</v>
      </c>
      <c r="AG14" s="247">
        <f t="shared" si="2"/>
        <v>10000</v>
      </c>
      <c r="AH14" s="248">
        <f t="shared" si="3"/>
        <v>990000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1610081211990002</v>
      </c>
      <c r="D15" s="225" t="str">
        <f>IFERROR(INDEX(rekap_tpp[], MATCH(A15, INDEX(rekap_tpp[], 0, 8), 0), 10), "NIP tidak ditemukan")</f>
        <v>99.948.002.3-304.000</v>
      </c>
      <c r="E15" s="226">
        <f>IFERROR(INDEX(rekap_tpp[], MATCH(A15, INDEX(rekap_tpp[], 0, 8), 0), 9), "NIP tidak ditemukan")</f>
        <v>36476</v>
      </c>
      <c r="F15" s="223">
        <v>2</v>
      </c>
      <c r="G15" s="223" t="s">
        <v>145</v>
      </c>
      <c r="H15" s="223" t="s">
        <v>146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147</v>
      </c>
      <c r="O15" s="223">
        <f>IFERROR(INDEX(rekap_tpp[], MATCH(A15, INDEX(rekap_tpp[], 0, 8), 0), 11), "NIP tidak ditemukan")</f>
        <v>1440966655</v>
      </c>
      <c r="P15" s="244">
        <f>'rekap nominatif etukin'!C19</f>
        <v>1000000</v>
      </c>
      <c r="Q15" s="245">
        <f>'rekap nominatif etukin'!D19</f>
        <v>0</v>
      </c>
      <c r="R15" s="245">
        <f>'rekap nominatif etukin'!E19</f>
        <v>0</v>
      </c>
      <c r="S15" s="245">
        <f>'rekap nominatif etukin'!F19</f>
        <v>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>
        <f t="shared" si="1"/>
        <v>10000</v>
      </c>
      <c r="AC15" s="223"/>
      <c r="AD15" s="223">
        <v>0</v>
      </c>
      <c r="AE15" s="223">
        <v>0</v>
      </c>
      <c r="AF15" s="246">
        <f t="shared" si="0"/>
        <v>1000000</v>
      </c>
      <c r="AG15" s="247">
        <f t="shared" si="2"/>
        <v>10000</v>
      </c>
      <c r="AH15" s="248">
        <f t="shared" si="3"/>
        <v>990000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14003500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>
        <f t="shared" si="4"/>
        <v>140035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>
        <f t="shared" si="4"/>
        <v>14003500</v>
      </c>
      <c r="AG16" s="249">
        <f t="shared" si="4"/>
        <v>140035</v>
      </c>
      <c r="AH16" s="250">
        <f t="shared" si="4"/>
        <v>13863465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2026-08-09T04:13:31Z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